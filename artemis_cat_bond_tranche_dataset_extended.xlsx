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e2d8a1a43941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9b2abb330224fb7"/>
    <x:sheet xmlns:r="http://schemas.openxmlformats.org/officeDocument/2006/relationships" name="Summary" sheetId="2" r:id="R820221c6efd14264"/>
    <x:sheet xmlns:r="http://schemas.openxmlformats.org/officeDocument/2006/relationships" name="Data_dictionary" sheetId="3" r:id="Rea0c4f26891e430d"/>
    <x:sheet xmlns:r="http://schemas.openxmlformats.org/officeDocument/2006/relationships" name="Method_notes" sheetId="4" r:id="R4c1b3bb7c3dc46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"/>
    <x:numFmt numFmtId="202" formatCode="0.000"/>
    <x:numFmt numFmtId="203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462a5a753c4f9c" /><Relationship Type="http://schemas.openxmlformats.org/officeDocument/2006/relationships/theme" Target="/xl/theme/theme1.xml" Id="Rbdcb02cbc57e4b6d" /><Relationship Type="http://schemas.openxmlformats.org/officeDocument/2006/relationships/sharedStrings" Target="/xl/sharedStrings.xml" Id="R29fc94cbe49e48d7" /><Relationship Type="http://schemas.openxmlformats.org/officeDocument/2006/relationships/worksheet" Target="/xl/worksheets/sheet1.xml" Id="R79b2abb330224fb7" /><Relationship Type="http://schemas.openxmlformats.org/officeDocument/2006/relationships/worksheet" Target="/xl/worksheets/sheet2.xml" Id="R820221c6efd14264" /><Relationship Type="http://schemas.openxmlformats.org/officeDocument/2006/relationships/worksheet" Target="/xl/worksheets/sheet3.xml" Id="Rea0c4f26891e430d" /><Relationship Type="http://schemas.openxmlformats.org/officeDocument/2006/relationships/worksheet" Target="/xl/worksheets/sheet4.xml" Id="R4c1b3bb7c3dc46a1" /></Relationships>
</file>

<file path=xl/tables/table1.xml><?xml version="1.0" encoding="utf-8"?>
<x:table xmlns:x="http://schemas.openxmlformats.org/spreadsheetml/2006/main" id="1" name="ArtemisTrancheData" displayName="ArtemisTrancheData" ref="A1:R158" headerRowCount="1">
  <x:tableColumns count="18">
    <x:tableColumn id="1" name="deal_name"/>
    <x:tableColumn id="2" name="issuer"/>
    <x:tableColumn id="3" name="sponsor"/>
    <x:tableColumn id="4" name="issue_year"/>
    <x:tableColumn id="5" name="issue_month"/>
    <x:tableColumn id="6" name="tranche_class"/>
    <x:tableColumn id="7" name="peril_type"/>
    <x:tableColumn id="8" name="trigger_type"/>
    <x:tableColumn id="9" name="coverage_basis"/>
    <x:tableColumn id="10" name="tranche_size_m"/>
    <x:tableColumn id="11" name="expected_loss_pct"/>
    <x:tableColumn id="12" name="spread_pct"/>
    <x:tableColumn id="13" name="spread_basis"/>
    <x:tableColumn id="14" name="source_url"/>
    <x:tableColumn id="15" name="validation_status"/>
    <x:tableColumn id="16" name="notes"/>
    <x:tableColumn id="17" name="regression_ready"/>
    <x:tableColumn id="18" name="spread_to_el_multiple"/>
  </x:tableColumns>
  <x:tableStyleInfo name="TableStyleMedium2" showRowStripes="1"/>
</x:table>
</file>

<file path=xl/tables/table2.xml><?xml version="1.0" encoding="utf-8"?>
<x:table xmlns:x="http://schemas.openxmlformats.org/spreadsheetml/2006/main" id="2" name="YearSummary" displayName="YearSummary" ref="D1:H14" headerRowCount="1">
  <x:tableColumns count="5">
    <x:tableColumn id="1" name="issue_year"/>
    <x:tableColumn id="2" name="n_rows"/>
    <x:tableColumn id="3" name="n_regression_ready"/>
    <x:tableColumn id="4" name="avg_expected_loss_pct"/>
    <x:tableColumn id="5" name="avg_spread_pct"/>
  </x:tableColumns>
  <x:tableStyleInfo name="TableStyleMedium2" showRowStripes="1"/>
</x:table>
</file>

<file path=xl/tables/table3.xml><?xml version="1.0" encoding="utf-8"?>
<x:table xmlns:x="http://schemas.openxmlformats.org/spreadsheetml/2006/main" id="3" name="DataDictionary" displayName="DataDictionary" ref="A1:C19" headerRowCount="1">
  <x:tableColumns count="3">
    <x:tableColumn id="1" name="Column"/>
    <x:tableColumn id="2" name="Meaning"/>
    <x:tableColumn id="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2ae414eaf34c3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3472b8eb1a24db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eb3f250cc444f88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28" hidden="0" customWidth="1"/>
    <x:col min="4" max="4" width="11" hidden="0" customWidth="1"/>
    <x:col min="5" max="5" width="10" hidden="0" customWidth="1"/>
    <x:col min="6" max="6" width="14" hidden="0" customWidth="1"/>
    <x:col min="7" max="7" width="42" hidden="0" customWidth="1"/>
    <x:col min="8" max="8" width="18" hidden="0" customWidth="1"/>
    <x:col min="9" max="9" width="20" hidden="0" customWidth="1"/>
    <x:col min="10" max="10" width="14" hidden="0" customWidth="1"/>
    <x:col min="11" max="11" width="16" hidden="0" customWidth="1"/>
    <x:col min="12" max="12" width="14" hidden="0" customWidth="1"/>
    <x:col min="13" max="13" width="24" hidden="0" customWidth="1"/>
    <x:col min="14" max="14" width="46" hidden="0" customWidth="1"/>
    <x:col min="15" max="15" width="28" hidden="0" customWidth="1"/>
    <x:col min="16" max="16" width="44" hidden="0" customWidth="1"/>
    <x:col min="17" max="17" width="16" hidden="0" customWidth="1"/>
    <x:col min="18" max="18" width="20" hidden="0" customWidth="1"/>
  </x:cols>
  <x:sheetData>
    <x:row r="1" ht="26" customHeight="1">
      <x:c r="A1" s="10" t="str">
        <x:v>deal_name</x:v>
      </x:c>
      <x:c r="B1" s="10" t="str">
        <x:v>issuer</x:v>
      </x:c>
      <x:c r="C1" s="10" t="str">
        <x:v>sponsor</x:v>
      </x:c>
      <x:c r="D1" s="10" t="str">
        <x:v>issue_year</x:v>
      </x:c>
      <x:c r="E1" s="10" t="str">
        <x:v>issue_month</x:v>
      </x:c>
      <x:c r="F1" s="10" t="str">
        <x:v>tranche_class</x:v>
      </x:c>
      <x:c r="G1" s="10" t="str">
        <x:v>peril_type</x:v>
      </x:c>
      <x:c r="H1" s="10" t="str">
        <x:v>trigger_type</x:v>
      </x:c>
      <x:c r="I1" s="10" t="str">
        <x:v>coverage_basis</x:v>
      </x:c>
      <x:c r="J1" s="10" t="str">
        <x:v>tranche_size_m</x:v>
      </x:c>
      <x:c r="K1" s="10" t="str">
        <x:v>expected_loss_pct</x:v>
      </x:c>
      <x:c r="L1" s="10" t="str">
        <x:v>spread_pct</x:v>
      </x:c>
      <x:c r="M1" s="10" t="str">
        <x:v>spread_basis</x:v>
      </x:c>
      <x:c r="N1" s="10" t="str">
        <x:v>source_url</x:v>
      </x:c>
      <x:c r="O1" s="10" t="str">
        <x:v>validation_status</x:v>
      </x:c>
      <x:c r="P1" s="10" t="str">
        <x:v>notes</x:v>
      </x:c>
      <x:c r="Q1" s="10" t="str">
        <x:v>regression_ready</x:v>
      </x:c>
      <x:c r="R1" s="10" t="str">
        <x:v>spread_to_el_multiple</x:v>
      </x:c>
    </x:row>
    <x:row r="2">
      <x:c r="A2" s="11" t="str">
        <x:v>Alamo Re Ltd. (Series 2014-1)</x:v>
      </x:c>
      <x:c r="B2" s="11" t="str">
        <x:v>Alamo Re Ltd.</x:v>
      </x:c>
      <x:c r="C2" s="11" t="str">
        <x:v>Texas Windstorm Insurance Association (TWIA)</x:v>
      </x:c>
      <x:c r="D2" s="14" t="n">
        <x:v>2014</x:v>
      </x:c>
      <x:c r="E2" s="11" t="str">
        <x:v>Jun</x:v>
      </x:c>
      <x:c r="F2" s="11" t="str">
        <x:v>Class A</x:v>
      </x:c>
      <x:c r="G2" s="11" t="str">
        <x:v>Texas named storms</x:v>
      </x:c>
      <x:c r="H2" s="11" t="str">
        <x:v>Indemnity</x:v>
      </x:c>
      <x:c r="I2" s="11" t="str">
        <x:v>Annual aggregate</x:v>
      </x:c>
      <x:c r="J2" s="16" t="n">
        <x:v>400</x:v>
      </x:c>
      <x:c r="K2" s="18" t="n">
        <x:v>2.84</x:v>
      </x:c>
      <x:c r="L2" s="18" t="n">
        <x:v>6.35</x:v>
      </x:c>
      <x:c r="M2" s="11" t="str">
        <x:v>Final spread</x:v>
      </x:c>
      <x:c r="N2" s="11" t="str">
        <x:v>https://www.artemis.bm/deal-directory/alamo-re-ltd-series-2014-1/</x:v>
      </x:c>
      <x:c r="O2" s="11" t="str">
        <x:v>Checked against Artemis page/text</x:v>
      </x:c>
      <x:c r="P2" s="11" t="str">
        <x:v>Artemis page gives EL 2.84%; final coupon/spread 6.35%.</x:v>
      </x:c>
      <x:c r="Q2" s="11" t="str">
        <x:v>Yes</x:v>
      </x:c>
      <x:c r="R2" s="20" t="n">
        <x:f>IFERROR(L2/K2,"")</x:f>
        <x:v>2.2359154929577465</x:v>
      </x:c>
    </x:row>
    <x:row r="3">
      <x:c r="A3" s="11" t="str">
        <x:v>Citrus Re Ltd. (Series 2014-1)</x:v>
      </x:c>
      <x:c r="B3" s="11" t="str">
        <x:v>Citrus Re Ltd.</x:v>
      </x:c>
      <x:c r="C3" s="11" t="str">
        <x:v>Heritage Property and Casualty Insurance Co.</x:v>
      </x:c>
      <x:c r="D3" s="14" t="n">
        <x:v>2014</x:v>
      </x:c>
      <x:c r="E3" s="11" t="str">
        <x:v>Apr</x:v>
      </x:c>
      <x:c r="F3" s="11" t="str">
        <x:v>Class A</x:v>
      </x:c>
      <x:c r="G3" s="11" t="str">
        <x:v>U.S. named storms (Florida initially)</x:v>
      </x:c>
      <x:c r="H3" s="11" t="str">
        <x:v>Indemnity</x:v>
      </x:c>
      <x:c r="I3" s="11" t="str">
        <x:v>Per-occurrence</x:v>
      </x:c>
      <x:c r="J3" s="16" t="n">
        <x:v>150</x:v>
      </x:c>
      <x:c r="K3" s="18" t="n">
        <x:v>1.28</x:v>
      </x:c>
      <x:c r="L3" s="18" t="n">
        <x:v>4.25</x:v>
      </x:c>
      <x:c r="M3" s="11" t="str">
        <x:v>Final spread</x:v>
      </x:c>
      <x:c r="N3" s="11" t="str">
        <x:v>https://www.artemis.bm/deal-directory/citrus-re-ltd-series-2014-1/</x:v>
      </x:c>
      <x:c r="O3" s="11" t="str">
        <x:v>Checked against Artemis page/text</x:v>
      </x:c>
      <x:c r="P3" s="11" t="str">
        <x:v>Artemis page gives EL 1.28%; final coupon 4.25%.</x:v>
      </x:c>
      <x:c r="Q3" s="11" t="str">
        <x:v>Yes</x:v>
      </x:c>
      <x:c r="R3" s="20" t="n">
        <x:f>IFERROR(L3/K3,"")</x:f>
        <x:v>3.3203125</x:v>
      </x:c>
    </x:row>
    <x:row r="4">
      <x:c r="A4" s="11" t="str">
        <x:v>Tradewynd Re Ltd. (Series 2014-1)</x:v>
      </x:c>
      <x:c r="B4" s="11" t="str">
        <x:v>Tradewynd Re Ltd.</x:v>
      </x:c>
      <x:c r="C4" s="11" t="str">
        <x:v>AIG</x:v>
      </x:c>
      <x:c r="D4" s="14" t="n">
        <x:v>2014</x:v>
      </x:c>
      <x:c r="E4" s="11" t="str">
        <x:v>Dec</x:v>
      </x:c>
      <x:c r="F4" s="11" t="str">
        <x:v>Class 1-B</x:v>
      </x:c>
      <x:c r="G4" s="11" t="str">
        <x:v>Named storm and earthquake: U.S., Canada, Mexico, Caribbean, Gulf of Mexico, D.C.</x:v>
      </x:c>
      <x:c r="H4" s="11" t="str">
        <x:v>Indemnity</x:v>
      </x:c>
      <x:c r="I4" s="11" t="str">
        <x:v>Per-occurrence</x:v>
      </x:c>
      <x:c r="J4" s="16" t="n">
        <x:v>100</x:v>
      </x:c>
      <x:c r="K4" s="18" t="n">
        <x:v>2.2</x:v>
      </x:c>
      <x:c r="L4" s="18" t="n">
        <x:v>6.75</x:v>
      </x:c>
      <x:c r="M4" s="11" t="str">
        <x:v>Final spread</x:v>
      </x:c>
      <x:c r="N4" s="11" t="str">
        <x:v>https://www.artemis.bm/deal-directory/tradewynd-re-ltd-series-2014-1/</x:v>
      </x:c>
      <x:c r="O4" s="11" t="str">
        <x:v>Checked against Artemis page/text</x:v>
      </x:c>
      <x:c r="P4" s="11" t="str">
        <x:v>Final pricing stated by Artemis.</x:v>
      </x:c>
      <x:c r="Q4" s="11" t="str">
        <x:v>Yes</x:v>
      </x:c>
      <x:c r="R4" s="20" t="n">
        <x:f>IFERROR(L4/K4,"")</x:f>
        <x:v>3.068181818181818</x:v>
      </x:c>
    </x:row>
    <x:row r="5">
      <x:c r="A5" s="11" t="str">
        <x:v>Tradewynd Re Ltd. (Series 2014-1)</x:v>
      </x:c>
      <x:c r="B5" s="11" t="str">
        <x:v>Tradewynd Re Ltd.</x:v>
      </x:c>
      <x:c r="C5" s="11" t="str">
        <x:v>AIG</x:v>
      </x:c>
      <x:c r="D5" s="14" t="n">
        <x:v>2014</x:v>
      </x:c>
      <x:c r="E5" s="11" t="str">
        <x:v>Dec</x:v>
      </x:c>
      <x:c r="F5" s="11" t="str">
        <x:v>Class 3-A</x:v>
      </x:c>
      <x:c r="G5" s="11" t="str">
        <x:v>Named storm and earthquake: U.S., Canada, Mexico, Caribbean, Gulf of Mexico, D.C.</x:v>
      </x:c>
      <x:c r="H5" s="11" t="str">
        <x:v>Indemnity</x:v>
      </x:c>
      <x:c r="I5" s="11" t="str">
        <x:v>Per-occurrence</x:v>
      </x:c>
      <x:c r="J5" s="16" t="n">
        <x:v>100</x:v>
      </x:c>
      <x:c r="K5" s="18" t="n">
        <x:v>1.14</x:v>
      </x:c>
      <x:c r="L5" s="18" t="n">
        <x:v>5</x:v>
      </x:c>
      <x:c r="M5" s="11" t="str">
        <x:v>Final spread</x:v>
      </x:c>
      <x:c r="N5" s="11" t="str">
        <x:v>https://www.artemis.bm/deal-directory/tradewynd-re-ltd-series-2014-1/</x:v>
      </x:c>
      <x:c r="O5" s="11" t="str">
        <x:v>Checked against Artemis page/text</x:v>
      </x:c>
      <x:c r="P5" s="11" t="str">
        <x:v>Final pricing stated by Artemis.</x:v>
      </x:c>
      <x:c r="Q5" s="11" t="str">
        <x:v>Yes</x:v>
      </x:c>
      <x:c r="R5" s="20" t="n">
        <x:f>IFERROR(L5/K5,"")</x:f>
        <x:v>4.385964912280702</x:v>
      </x:c>
    </x:row>
    <x:row r="6">
      <x:c r="A6" s="11" t="str">
        <x:v>Tradewynd Re Ltd. (Series 2014-1)</x:v>
      </x:c>
      <x:c r="B6" s="11" t="str">
        <x:v>Tradewynd Re Ltd.</x:v>
      </x:c>
      <x:c r="C6" s="11" t="str">
        <x:v>AIG</x:v>
      </x:c>
      <x:c r="D6" s="14" t="n">
        <x:v>2014</x:v>
      </x:c>
      <x:c r="E6" s="11" t="str">
        <x:v>Dec</x:v>
      </x:c>
      <x:c r="F6" s="11" t="str">
        <x:v>Class 3-B</x:v>
      </x:c>
      <x:c r="G6" s="11" t="str">
        <x:v>Named storm and earthquake: U.S., Canada, Mexico, Caribbean, Gulf of Mexico, D.C.</x:v>
      </x:c>
      <x:c r="H6" s="11" t="str">
        <x:v>Indemnity</x:v>
      </x:c>
      <x:c r="I6" s="11" t="str">
        <x:v>Per-occurrence</x:v>
      </x:c>
      <x:c r="J6" s="16" t="n">
        <x:v>300</x:v>
      </x:c>
      <x:c r="K6" s="18" t="n">
        <x:v>2.2</x:v>
      </x:c>
      <x:c r="L6" s="18" t="n">
        <x:v>7</x:v>
      </x:c>
      <x:c r="M6" s="11" t="str">
        <x:v>Final spread</x:v>
      </x:c>
      <x:c r="N6" s="11" t="str">
        <x:v>https://www.artemis.bm/deal-directory/tradewynd-re-ltd-series-2014-1/</x:v>
      </x:c>
      <x:c r="O6" s="11" t="str">
        <x:v>Checked against Artemis page/text</x:v>
      </x:c>
      <x:c r="P6" s="11" t="str">
        <x:v>Final pricing stated by Artemis.</x:v>
      </x:c>
      <x:c r="Q6" s="11" t="str">
        <x:v>Yes</x:v>
      </x:c>
      <x:c r="R6" s="20" t="n">
        <x:f>IFERROR(L6/K6,"")</x:f>
        <x:v>3.1818181818181817</x:v>
      </x:c>
    </x:row>
    <x:row r="7">
      <x:c r="A7" s="11" t="str">
        <x:v>Ursa Re Ltd. (Series 2014-1)</x:v>
      </x:c>
      <x:c r="B7" s="11" t="str">
        <x:v>Ursa Re Ltd.</x:v>
      </x:c>
      <x:c r="C7" s="11" t="str">
        <x:v>California Earthquake Authority</x:v>
      </x:c>
      <x:c r="D7" s="14" t="n">
        <x:v>2014</x:v>
      </x:c>
      <x:c r="E7" s="11" t="str">
        <x:v>Dec</x:v>
      </x:c>
      <x:c r="F7" s="11" t="str">
        <x:v>Class A</x:v>
      </x:c>
      <x:c r="G7" s="11" t="str">
        <x:v>California earthquake</x:v>
      </x:c>
      <x:c r="H7" s="11" t="str">
        <x:v>Indemnity</x:v>
      </x:c>
      <x:c r="I7" s="11" t="str">
        <x:v>Annual aggregate</x:v>
      </x:c>
      <x:c r="J7" s="16" t="n">
        <x:v>200</x:v>
      </x:c>
      <x:c r="K7" s="18" t="n">
        <x:v>1.2</x:v>
      </x:c>
      <x:c r="L7" s="18" t="n">
        <x:v>3.5</x:v>
      </x:c>
      <x:c r="M7" s="11" t="str">
        <x:v>Final spread</x:v>
      </x:c>
      <x:c r="N7" s="11" t="str">
        <x:v>https://www.artemis.bm/deal-directory/ursa-re-ltd-series-2014-1/</x:v>
      </x:c>
      <x:c r="O7" s="11" t="str">
        <x:v>Checked against Artemis page/text</x:v>
      </x:c>
      <x:c r="P7" s="11" t="str">
        <x:v>Artemis page gives EL 1.20%; final price 3.50%.</x:v>
      </x:c>
      <x:c r="Q7" s="11" t="str">
        <x:v>Yes</x:v>
      </x:c>
      <x:c r="R7" s="20" t="n">
        <x:f>IFERROR(L7/K7,"")</x:f>
        <x:v>2.916666666666667</x:v>
      </x:c>
    </x:row>
    <x:row r="8">
      <x:c r="A8" s="11" t="str">
        <x:v>Ursa Re Ltd. (Series 2014-1)</x:v>
      </x:c>
      <x:c r="B8" s="11" t="str">
        <x:v>Ursa Re Ltd.</x:v>
      </x:c>
      <x:c r="C8" s="11" t="str">
        <x:v>California Earthquake Authority</x:v>
      </x:c>
      <x:c r="D8" s="14" t="n">
        <x:v>2014</x:v>
      </x:c>
      <x:c r="E8" s="11" t="str">
        <x:v>Dec</x:v>
      </x:c>
      <x:c r="F8" s="11" t="str">
        <x:v>Class B</x:v>
      </x:c>
      <x:c r="G8" s="11" t="str">
        <x:v>California earthquake</x:v>
      </x:c>
      <x:c r="H8" s="11" t="str">
        <x:v>Indemnity</x:v>
      </x:c>
      <x:c r="I8" s="11" t="str">
        <x:v>Annual aggregate</x:v>
      </x:c>
      <x:c r="J8" s="16" t="n">
        <x:v>200</x:v>
      </x:c>
      <x:c r="K8" s="18" t="n">
        <x:v>2.62</x:v>
      </x:c>
      <x:c r="L8" s="18" t="n">
        <x:v>5</x:v>
      </x:c>
      <x:c r="M8" s="11" t="str">
        <x:v>Final spread</x:v>
      </x:c>
      <x:c r="N8" s="11" t="str">
        <x:v>https://www.artemis.bm/deal-directory/ursa-re-ltd-series-2014-1/</x:v>
      </x:c>
      <x:c r="O8" s="11" t="str">
        <x:v>Checked against Artemis page/text</x:v>
      </x:c>
      <x:c r="P8" s="11" t="str">
        <x:v>Artemis page/search extract gives EL 2.62%; Class B priced at 5.00%.</x:v>
      </x:c>
      <x:c r="Q8" s="11" t="str">
        <x:v>Yes</x:v>
      </x:c>
      <x:c r="R8" s="20" t="n">
        <x:f>IFERROR(L8/K8,"")</x:f>
        <x:v>1.9083969465648853</x:v>
      </x:c>
    </x:row>
    <x:row r="9">
      <x:c r="A9" s="11" t="str">
        <x:v>Bosphorus Ltd. (Series 2015-1)</x:v>
      </x:c>
      <x:c r="B9" s="11" t="str">
        <x:v>Bosphorus Ltd.</x:v>
      </x:c>
      <x:c r="C9" s="11" t="str">
        <x:v>Turkish Catastrophe Insurance Pool</x:v>
      </x:c>
      <x:c r="D9" s="14" t="n">
        <x:v>2015</x:v>
      </x:c>
      <x:c r="E9" s="11" t="str">
        <x:v>Aug</x:v>
      </x:c>
      <x:c r="F9" s="11" t="str">
        <x:v>Class A</x:v>
      </x:c>
      <x:c r="G9" s="11" t="str">
        <x:v>Turkey earthquake</x:v>
      </x:c>
      <x:c r="H9" s="11" t="str">
        <x:v>Parametric</x:v>
      </x:c>
      <x:c r="I9" s="11" t="str">
        <x:v>Per-occurrence</x:v>
      </x:c>
      <x:c r="J9" s="16" t="n">
        <x:v>100</x:v>
      </x:c>
      <x:c r="K9" s="18" t="n">
        <x:v>1.5</x:v>
      </x:c>
      <x:c r="L9" s="18" t="n">
        <x:v>3.75</x:v>
      </x:c>
      <x:c r="M9" s="11" t="str">
        <x:v>Guidance midpoint</x:v>
      </x:c>
      <x:c r="N9" s="11" t="str">
        <x:v>https://www.artemis.bm/deal-directory/bosphorus-ltd-series-2015-1/</x:v>
      </x:c>
      <x:c r="O9" s="11" t="str">
        <x:v>Checked against Artemis page/text</x:v>
      </x:c>
      <x:c r="P9" s="11" t="str">
        <x:v>Midpoint of Artemis price guidance 3.5%-4.0%.</x:v>
      </x:c>
      <x:c r="Q9" s="11" t="str">
        <x:v>Yes</x:v>
      </x:c>
      <x:c r="R9" s="20" t="n">
        <x:f>IFERROR(L9/K9,"")</x:f>
        <x:v>2.5</x:v>
      </x:c>
    </x:row>
    <x:row r="10">
      <x:c r="A10" s="11" t="str">
        <x:v>Everglades Re II Ltd. (Series 2015-1)</x:v>
      </x:c>
      <x:c r="B10" s="11" t="str">
        <x:v>Everglades Re II Ltd.</x:v>
      </x:c>
      <x:c r="C10" s="11" t="str">
        <x:v>Citizens Property Insurance</x:v>
      </x:c>
      <x:c r="D10" s="14" t="n">
        <x:v>2015</x:v>
      </x:c>
      <x:c r="E10" s="11" t="str">
        <x:v>May</x:v>
      </x:c>
      <x:c r="F10" s="11" t="str">
        <x:v>Class A</x:v>
      </x:c>
      <x:c r="G10" s="11" t="str">
        <x:v>Florida named storms</x:v>
      </x:c>
      <x:c r="H10" s="11" t="str">
        <x:v>Indemnity</x:v>
      </x:c>
      <x:c r="I10" s="11" t="str">
        <x:v>Annual aggregate</x:v>
      </x:c>
      <x:c r="J10" s="16" t="n">
        <x:v>300</x:v>
      </x:c>
      <x:c r="K10" s="18" t="n">
        <x:v>1.31</x:v>
      </x:c>
      <x:c r="L10" s="18" t="n">
        <x:v>5.15</x:v>
      </x:c>
      <x:c r="M10" s="11" t="str">
        <x:v>Final spread</x:v>
      </x:c>
      <x:c r="N10" s="11" t="str">
        <x:v>https://www.artemis.bm/deal-directory/everglades-re-ii-ltd-series-2015-1/</x:v>
      </x:c>
      <x:c r="O10" s="11" t="str">
        <x:v>Checked against Artemis page/text</x:v>
      </x:c>
      <x:c r="P10" s="11" t="str">
        <x:v>Base-case expected loss used; sensitivity EL also disclosed by Artemis.</x:v>
      </x:c>
      <x:c r="Q10" s="11" t="str">
        <x:v>Yes</x:v>
      </x:c>
      <x:c r="R10" s="20" t="n">
        <x:f>IFERROR(L10/K10,"")</x:f>
        <x:v>3.931297709923664</x:v>
      </x:c>
    </x:row>
    <x:row r="11">
      <x:c r="A11" s="11" t="str">
        <x:v>Nakama Re Ltd. (Series 2015-1)</x:v>
      </x:c>
      <x:c r="B11" s="11" t="str">
        <x:v>Nakama Re Ltd.</x:v>
      </x:c>
      <x:c r="C11" s="11" t="str">
        <x:v>Zenkyoren</x:v>
      </x:c>
      <x:c r="D11" s="14" t="n">
        <x:v>2015</x:v>
      </x:c>
      <x:c r="E11" s="11" t="str">
        <x:v>Mar</x:v>
      </x:c>
      <x:c r="F11" s="11" t="str">
        <x:v>Class 1</x:v>
      </x:c>
      <x:c r="G11" s="11" t="str">
        <x:v>Japan earthquake</x:v>
      </x:c>
      <x:c r="H11" s="11" t="str">
        <x:v>Indemnity</x:v>
      </x:c>
      <x:c r="I11" s="11" t="str">
        <x:v>Per-occurrence</x:v>
      </x:c>
      <x:c r="J11" s="16"/>
      <x:c r="K11" s="18" t="n">
        <x:v>1.16</x:v>
      </x:c>
      <x:c r="L11" s="18" t="n">
        <x:v>2.875</x:v>
      </x:c>
      <x:c r="M11" s="11" t="str">
        <x:v>Latest stated pricing</x:v>
      </x:c>
      <x:c r="N11" s="11" t="str">
        <x:v>https://www.artemis.bm/deal-directory/nakama-re-ltd-series-2015-1/</x:v>
      </x:c>
      <x:c r="O11" s="11" t="str">
        <x:v>Checked against Artemis page/text</x:v>
      </x:c>
      <x:c r="P11" s="11" t="str">
        <x:v>Artemis search extract states likely pricing/coupon 2.875% and EL 1.16%.</x:v>
      </x:c>
      <x:c r="Q11" s="11" t="str">
        <x:v>Yes</x:v>
      </x:c>
      <x:c r="R11" s="20" t="n">
        <x:f>IFERROR(L11/K11,"")</x:f>
        <x:v>2.478448275862069</x:v>
      </x:c>
    </x:row>
    <x:row r="12">
      <x:c r="A12" s="11" t="str">
        <x:v>Nakama Re Ltd. (Series 2015-1)</x:v>
      </x:c>
      <x:c r="B12" s="11" t="str">
        <x:v>Nakama Re Ltd.</x:v>
      </x:c>
      <x:c r="C12" s="11" t="str">
        <x:v>Zenkyoren</x:v>
      </x:c>
      <x:c r="D12" s="14" t="n">
        <x:v>2015</x:v>
      </x:c>
      <x:c r="E12" s="11" t="str">
        <x:v>Mar</x:v>
      </x:c>
      <x:c r="F12" s="11" t="str">
        <x:v>Class 2</x:v>
      </x:c>
      <x:c r="G12" s="11" t="str">
        <x:v>Japan earthquake</x:v>
      </x:c>
      <x:c r="H12" s="11" t="str">
        <x:v>Indemnity</x:v>
      </x:c>
      <x:c r="I12" s="11" t="str">
        <x:v>Aggregate</x:v>
      </x:c>
      <x:c r="J12" s="16"/>
      <x:c r="K12" s="18" t="n">
        <x:v>0.86</x:v>
      </x:c>
      <x:c r="L12" s="18" t="n">
        <x:v>3.25</x:v>
      </x:c>
      <x:c r="M12" s="11" t="str">
        <x:v>Latest stated pricing</x:v>
      </x:c>
      <x:c r="N12" s="11" t="str">
        <x:v>https://www.artemis.bm/deal-directory/nakama-re-ltd-series-2015-1/</x:v>
      </x:c>
      <x:c r="O12" s="11" t="str">
        <x:v>Checked against Artemis page/text</x:v>
      </x:c>
      <x:c r="P12" s="11" t="str">
        <x:v>Artemis search extract states possible pricing/coupon 3.25% and EL 0.86%.</x:v>
      </x:c>
      <x:c r="Q12" s="11" t="str">
        <x:v>Yes</x:v>
      </x:c>
      <x:c r="R12" s="20" t="n">
        <x:f>IFERROR(L12/K12,"")</x:f>
        <x:v>3.7790697674418605</x:v>
      </x:c>
    </x:row>
    <x:row r="13">
      <x:c r="A13" s="11" t="str">
        <x:v>Akibare Re Ltd. (Series 2016-1)</x:v>
      </x:c>
      <x:c r="B13" s="11" t="str">
        <x:v>Akibare Re Ltd.</x:v>
      </x:c>
      <x:c r="C13" s="11" t="str">
        <x:v>MS&amp;AD Insurance Group</x:v>
      </x:c>
      <x:c r="D13" s="14" t="n">
        <x:v>2016</x:v>
      </x:c>
      <x:c r="E13" s="11" t="str">
        <x:v>Mar</x:v>
      </x:c>
      <x:c r="F13" s="11" t="str">
        <x:v>Class A</x:v>
      </x:c>
      <x:c r="G13" s="11" t="str">
        <x:v>Japan typhoon, flood, earthquake fire</x:v>
      </x:c>
      <x:c r="H13" s="11" t="str">
        <x:v>Indemnity</x:v>
      </x:c>
      <x:c r="I13" s="11" t="str">
        <x:v>Per-occurrence</x:v>
      </x:c>
      <x:c r="J13" s="16" t="n">
        <x:v>200</x:v>
      </x:c>
      <x:c r="K13" s="18" t="n">
        <x:v>1.19</x:v>
      </x:c>
      <x:c r="L13" s="18" t="n">
        <x:v>2.5</x:v>
      </x:c>
      <x:c r="M13" s="11" t="str">
        <x:v>Final spread</x:v>
      </x:c>
      <x:c r="N13" s="11" t="str">
        <x:v>https://www.artemis.bm/deal-directory/akibare-re-ltd-series-2016-1/</x:v>
      </x:c>
      <x:c r="O13" s="11" t="str">
        <x:v>Checked against Artemis page/text</x:v>
      </x:c>
      <x:c r="P13" s="11" t="str">
        <x:v>Artemis search extract states EL 1.19% and coupon 2.5%.</x:v>
      </x:c>
      <x:c r="Q13" s="11" t="str">
        <x:v>Yes</x:v>
      </x:c>
      <x:c r="R13" s="20" t="n">
        <x:f>IFERROR(L13/K13,"")</x:f>
        <x:v>2.100840336134454</x:v>
      </x:c>
    </x:row>
    <x:row r="14">
      <x:c r="A14" s="11" t="str">
        <x:v>Bonanza Re Ltd. (Series 2016-1)</x:v>
      </x:c>
      <x:c r="B14" s="11" t="str">
        <x:v>Bonanza Re Ltd.</x:v>
      </x:c>
      <x:c r="C14" s="11" t="str">
        <x:v>American Strategic Insurance Group</x:v>
      </x:c>
      <x:c r="D14" s="14" t="n">
        <x:v>2016</x:v>
      </x:c>
      <x:c r="E14" s="11" t="str">
        <x:v>Dec</x:v>
      </x:c>
      <x:c r="F14" s="11" t="str">
        <x:v>Class A</x:v>
      </x:c>
      <x:c r="G14" s="11" t="str">
        <x:v>U.S. named storms and severe thunderstorms</x:v>
      </x:c>
      <x:c r="H14" s="11" t="str">
        <x:v>Indemnity</x:v>
      </x:c>
      <x:c r="I14" s="11" t="str">
        <x:v>Per-occurrence</x:v>
      </x:c>
      <x:c r="J14" s="16" t="n">
        <x:v>150</x:v>
      </x:c>
      <x:c r="K14" s="18" t="n">
        <x:v>1.52</x:v>
      </x:c>
      <x:c r="L14" s="18" t="n">
        <x:v>3.75</x:v>
      </x:c>
      <x:c r="M14" s="11" t="str">
        <x:v>Final spread</x:v>
      </x:c>
      <x:c r="N14" s="11" t="str">
        <x:v>https://www.artemis.bm/deal-directory/bonanza-re-ltd-series-2016-1/</x:v>
      </x:c>
      <x:c r="O14" s="11" t="str">
        <x:v>Checked against Artemis page/text</x:v>
      </x:c>
      <x:c r="P14" s="11" t="str">
        <x:v>Final pricing stated by Artemis.</x:v>
      </x:c>
      <x:c r="Q14" s="11" t="str">
        <x:v>Yes</x:v>
      </x:c>
      <x:c r="R14" s="20" t="n">
        <x:f>IFERROR(L14/K14,"")</x:f>
        <x:v>2.4671052631578947</x:v>
      </x:c>
    </x:row>
    <x:row r="15">
      <x:c r="A15" s="11" t="str">
        <x:v>Bonanza Re Ltd. (Series 2016-1)</x:v>
      </x:c>
      <x:c r="B15" s="11" t="str">
        <x:v>Bonanza Re Ltd.</x:v>
      </x:c>
      <x:c r="C15" s="11" t="str">
        <x:v>American Strategic Insurance Group</x:v>
      </x:c>
      <x:c r="D15" s="14" t="n">
        <x:v>2016</x:v>
      </x:c>
      <x:c r="E15" s="11" t="str">
        <x:v>Dec</x:v>
      </x:c>
      <x:c r="F15" s="11" t="str">
        <x:v>Class B</x:v>
      </x:c>
      <x:c r="G15" s="11" t="str">
        <x:v>U.S. named storms</x:v>
      </x:c>
      <x:c r="H15" s="11" t="str">
        <x:v>Indemnity</x:v>
      </x:c>
      <x:c r="I15" s="11" t="str">
        <x:v>Per-occurrence</x:v>
      </x:c>
      <x:c r="J15" s="16" t="n">
        <x:v>50</x:v>
      </x:c>
      <x:c r="K15" s="18" t="n">
        <x:v>2.19</x:v>
      </x:c>
      <x:c r="L15" s="18" t="n">
        <x:v>5</x:v>
      </x:c>
      <x:c r="M15" s="11" t="str">
        <x:v>Final spread</x:v>
      </x:c>
      <x:c r="N15" s="11" t="str">
        <x:v>https://www.artemis.bm/deal-directory/bonanza-re-ltd-series-2016-1/</x:v>
      </x:c>
      <x:c r="O15" s="11" t="str">
        <x:v>Checked against Artemis page/text</x:v>
      </x:c>
      <x:c r="P15" s="11" t="str">
        <x:v>Final pricing stated by Artemis.</x:v>
      </x:c>
      <x:c r="Q15" s="11" t="str">
        <x:v>Yes</x:v>
      </x:c>
      <x:c r="R15" s="20" t="n">
        <x:f>IFERROR(L15/K15,"")</x:f>
        <x:v>2.2831050228310503</x:v>
      </x:c>
    </x:row>
    <x:row r="16">
      <x:c r="A16" s="11" t="str">
        <x:v>Caelus Re IV Ltd. (Series 2016-1)</x:v>
      </x:c>
      <x:c r="B16" s="11" t="str">
        <x:v>Caelus Re IV Ltd.</x:v>
      </x:c>
      <x:c r="C16" s="11" t="str">
        <x:v>Nationwide Mutual Insurance Co.</x:v>
      </x:c>
      <x:c r="D16" s="14" t="n">
        <x:v>2016</x:v>
      </x:c>
      <x:c r="E16" s="11" t="str">
        <x:v>May</x:v>
      </x:c>
      <x:c r="F16" s="11" t="str">
        <x:v>Class A</x:v>
      </x:c>
      <x:c r="G16" s="11" t="str">
        <x:v>U.S. multi-peril</x:v>
      </x:c>
      <x:c r="H16" s="11" t="str">
        <x:v>Indemnity</x:v>
      </x:c>
      <x:c r="I16" s="11" t="str">
        <x:v>Annual aggregate</x:v>
      </x:c>
      <x:c r="J16" s="16"/>
      <x:c r="K16" s="18" t="n">
        <x:v>1.58</x:v>
      </x:c>
      <x:c r="L16" s="18" t="n">
        <x:v>5.5</x:v>
      </x:c>
      <x:c r="M16" s="11" t="str">
        <x:v>Final spread</x:v>
      </x:c>
      <x:c r="N16" s="11" t="str">
        <x:v>https://www.artemis.bm/deal-directory/caelus-re-iv-ltd-series-2016-1/</x:v>
      </x:c>
      <x:c r="O16" s="11" t="str">
        <x:v>Checked against Artemis page/text</x:v>
      </x:c>
      <x:c r="P16" s="11" t="str">
        <x:v>Artemis search extract states price guidance settled at 5.5% and base-case EL 1.58%.</x:v>
      </x:c>
      <x:c r="Q16" s="11" t="str">
        <x:v>Yes</x:v>
      </x:c>
      <x:c r="R16" s="20" t="n">
        <x:f>IFERROR(L16/K16,"")</x:f>
        <x:v>3.481012658227848</x:v>
      </x:c>
    </x:row>
    <x:row r="17">
      <x:c r="A17" s="11" t="str">
        <x:v>Galilei Re Ltd. (Series 2016-1)</x:v>
      </x:c>
      <x:c r="B17" s="11" t="str">
        <x:v>Galilei Re Ltd.</x:v>
      </x:c>
      <x:c r="C17" s="11" t="str">
        <x:v>XL Bermuda Ltd.</x:v>
      </x:c>
      <x:c r="D17" s="14" t="n">
        <x:v>2016</x:v>
      </x:c>
      <x:c r="E17" s="11" t="str">
        <x:v>Dec</x:v>
      </x:c>
      <x:c r="F17" s="11" t="str">
        <x:v>Class A-1</x:v>
      </x:c>
      <x:c r="G17" s="11" t="str">
        <x:v>U.S. named storm, U.S. earthquake, European windstorm, Australian tropical cyclone and earthquake</x:v>
      </x:c>
      <x:c r="H17" s="11" t="str">
        <x:v>Industry loss index</x:v>
      </x:c>
      <x:c r="I17" s="11" t="str">
        <x:v>Annual aggregate</x:v>
      </x:c>
      <x:c r="J17" s="16" t="n">
        <x:v>62.5</x:v>
      </x:c>
      <x:c r="K17" s="18" t="n">
        <x:v>8.65</x:v>
      </x:c>
      <x:c r="L17" s="18" t="n">
        <x:v>12.875</x:v>
      </x:c>
      <x:c r="M17" s="11" t="str">
        <x:v>Guidance midpoint</x:v>
      </x:c>
      <x:c r="N17" s="11" t="str">
        <x:v>https://www.artemis.bm/deal-directory/galilei-re-ltd-series-2016-1/</x:v>
      </x:c>
      <x:c r="O17" s="11" t="str">
        <x:v>Checked against Artemis page/text</x:v>
      </x:c>
      <x:c r="P17" s="11" t="str">
        <x:v>Midpoint of Artemis price guidance 12.5%-13.25%.</x:v>
      </x:c>
      <x:c r="Q17" s="11" t="str">
        <x:v>Yes</x:v>
      </x:c>
      <x:c r="R17" s="20" t="n">
        <x:f>IFERROR(L17/K17,"")</x:f>
        <x:v>1.4884393063583814</x:v>
      </x:c>
    </x:row>
    <x:row r="18">
      <x:c r="A18" s="11" t="str">
        <x:v>Galilei Re Ltd. (Series 2016-1)</x:v>
      </x:c>
      <x:c r="B18" s="11" t="str">
        <x:v>Galilei Re Ltd.</x:v>
      </x:c>
      <x:c r="C18" s="11" t="str">
        <x:v>XL Bermuda Ltd.</x:v>
      </x:c>
      <x:c r="D18" s="14" t="n">
        <x:v>2016</x:v>
      </x:c>
      <x:c r="E18" s="11" t="str">
        <x:v>Dec</x:v>
      </x:c>
      <x:c r="F18" s="11" t="str">
        <x:v>Class B-1</x:v>
      </x:c>
      <x:c r="G18" s="11" t="str">
        <x:v>U.S. named storm, U.S. earthquake, European windstorm, Australian tropical cyclone and earthquake</x:v>
      </x:c>
      <x:c r="H18" s="11" t="str">
        <x:v>Industry loss index</x:v>
      </x:c>
      <x:c r="I18" s="11" t="str">
        <x:v>Annual aggregate</x:v>
      </x:c>
      <x:c r="J18" s="16" t="n">
        <x:v>62.5</x:v>
      </x:c>
      <x:c r="K18" s="18" t="n">
        <x:v>4.55</x:v>
      </x:c>
      <x:c r="L18" s="18" t="n">
        <x:v>8.125</x:v>
      </x:c>
      <x:c r="M18" s="11" t="str">
        <x:v>Guidance midpoint</x:v>
      </x:c>
      <x:c r="N18" s="11" t="str">
        <x:v>https://www.artemis.bm/deal-directory/galilei-re-ltd-series-2016-1/</x:v>
      </x:c>
      <x:c r="O18" s="11" t="str">
        <x:v>Checked against Artemis page/text</x:v>
      </x:c>
      <x:c r="P18" s="11" t="str">
        <x:v>Midpoint of Artemis price guidance 7.75%-8.5%.</x:v>
      </x:c>
      <x:c r="Q18" s="11" t="str">
        <x:v>Yes</x:v>
      </x:c>
      <x:c r="R18" s="20" t="n">
        <x:f>IFERROR(L18/K18,"")</x:f>
        <x:v>1.7857142857142858</x:v>
      </x:c>
    </x:row>
    <x:row r="19">
      <x:c r="A19" s="11" t="str">
        <x:v>Galilei Re Ltd. (Series 2016-1)</x:v>
      </x:c>
      <x:c r="B19" s="11" t="str">
        <x:v>Galilei Re Ltd.</x:v>
      </x:c>
      <x:c r="C19" s="11" t="str">
        <x:v>XL Bermuda Ltd.</x:v>
      </x:c>
      <x:c r="D19" s="14" t="n">
        <x:v>2016</x:v>
      </x:c>
      <x:c r="E19" s="11" t="str">
        <x:v>Dec</x:v>
      </x:c>
      <x:c r="F19" s="11" t="str">
        <x:v>Class C-1</x:v>
      </x:c>
      <x:c r="G19" s="11" t="str">
        <x:v>U.S. named storm, U.S. earthquake, European windstorm, Australian tropical cyclone and earthquake</x:v>
      </x:c>
      <x:c r="H19" s="11" t="str">
        <x:v>Industry loss index</x:v>
      </x:c>
      <x:c r="I19" s="11" t="str">
        <x:v>Annual aggregate</x:v>
      </x:c>
      <x:c r="J19" s="16" t="n">
        <x:v>125</x:v>
      </x:c>
      <x:c r="K19" s="18" t="n">
        <x:v>2.75</x:v>
      </x:c>
      <x:c r="L19" s="18" t="n">
        <x:v>6.125</x:v>
      </x:c>
      <x:c r="M19" s="11" t="str">
        <x:v>Guidance midpoint</x:v>
      </x:c>
      <x:c r="N19" s="11" t="str">
        <x:v>https://www.artemis.bm/deal-directory/galilei-re-ltd-series-2016-1/</x:v>
      </x:c>
      <x:c r="O19" s="11" t="str">
        <x:v>Checked against Artemis page/text</x:v>
      </x:c>
      <x:c r="P19" s="11" t="str">
        <x:v>Midpoint of Artemis price guidance 5.75%-6.5%.</x:v>
      </x:c>
      <x:c r="Q19" s="11" t="str">
        <x:v>Yes</x:v>
      </x:c>
      <x:c r="R19" s="20" t="n">
        <x:f>IFERROR(L19/K19,"")</x:f>
        <x:v>2.227272727272727</x:v>
      </x:c>
    </x:row>
    <x:row r="20">
      <x:c r="A20" s="11" t="str">
        <x:v>Galilei Re Ltd. (Series 2016-1)</x:v>
      </x:c>
      <x:c r="B20" s="11" t="str">
        <x:v>Galilei Re Ltd.</x:v>
      </x:c>
      <x:c r="C20" s="11" t="str">
        <x:v>XL Bermuda Ltd.</x:v>
      </x:c>
      <x:c r="D20" s="14" t="n">
        <x:v>2016</x:v>
      </x:c>
      <x:c r="E20" s="11" t="str">
        <x:v>Dec</x:v>
      </x:c>
      <x:c r="F20" s="11" t="str">
        <x:v>Class D-1</x:v>
      </x:c>
      <x:c r="G20" s="11" t="str">
        <x:v>U.S. named storm, U.S. earthquake, European windstorm, Australian tropical cyclone and earthquake</x:v>
      </x:c>
      <x:c r="H20" s="11" t="str">
        <x:v>Industry loss index</x:v>
      </x:c>
      <x:c r="I20" s="11" t="str">
        <x:v>Annual aggregate</x:v>
      </x:c>
      <x:c r="J20" s="16" t="n">
        <x:v>125</x:v>
      </x:c>
      <x:c r="K20" s="18" t="n">
        <x:v>1.86</x:v>
      </x:c>
      <x:c r="L20" s="18" t="n">
        <x:v>4.875</x:v>
      </x:c>
      <x:c r="M20" s="11" t="str">
        <x:v>Guidance midpoint</x:v>
      </x:c>
      <x:c r="N20" s="11" t="str">
        <x:v>https://www.artemis.bm/deal-directory/galilei-re-ltd-series-2016-1/</x:v>
      </x:c>
      <x:c r="O20" s="11" t="str">
        <x:v>Checked against Artemis page/text</x:v>
      </x:c>
      <x:c r="P20" s="11" t="str">
        <x:v>Midpoint of Artemis price guidance 4.5%-5.25%.</x:v>
      </x:c>
      <x:c r="Q20" s="11" t="str">
        <x:v>Yes</x:v>
      </x:c>
      <x:c r="R20" s="20" t="n">
        <x:f>IFERROR(L20/K20,"")</x:f>
        <x:v>2.6209677419354835</x:v>
      </x:c>
    </x:row>
    <x:row r="21">
      <x:c r="A21" s="11" t="str">
        <x:v>Galilei Re Ltd. (Series 2016-1)</x:v>
      </x:c>
      <x:c r="B21" s="11" t="str">
        <x:v>Galilei Re Ltd.</x:v>
      </x:c>
      <x:c r="C21" s="11" t="str">
        <x:v>XL Bermuda Ltd.</x:v>
      </x:c>
      <x:c r="D21" s="14" t="n">
        <x:v>2016</x:v>
      </x:c>
      <x:c r="E21" s="11" t="str">
        <x:v>Dec</x:v>
      </x:c>
      <x:c r="F21" s="11" t="str">
        <x:v>Class E-1</x:v>
      </x:c>
      <x:c r="G21" s="11" t="str">
        <x:v>U.S. named storm, U.S. earthquake, European windstorm, Australian tropical cyclone and earthquake</x:v>
      </x:c>
      <x:c r="H21" s="11" t="str">
        <x:v>Industry loss index</x:v>
      </x:c>
      <x:c r="I21" s="11" t="str">
        <x:v>Annual aggregate</x:v>
      </x:c>
      <x:c r="J21" s="16" t="n">
        <x:v>125</x:v>
      </x:c>
      <x:c r="K21" s="18" t="n">
        <x:v>1.29</x:v>
      </x:c>
      <x:c r="L21" s="18" t="n">
        <x:v>4.125</x:v>
      </x:c>
      <x:c r="M21" s="11" t="str">
        <x:v>Guidance midpoint</x:v>
      </x:c>
      <x:c r="N21" s="11" t="str">
        <x:v>https://www.artemis.bm/deal-directory/galilei-re-ltd-series-2016-1/</x:v>
      </x:c>
      <x:c r="O21" s="11" t="str">
        <x:v>Checked against Artemis page/text</x:v>
      </x:c>
      <x:c r="P21" s="11" t="str">
        <x:v>Midpoint of Artemis price guidance 3.75%-4.5%.</x:v>
      </x:c>
      <x:c r="Q21" s="11" t="str">
        <x:v>Yes</x:v>
      </x:c>
      <x:c r="R21" s="20" t="n">
        <x:f>IFERROR(L21/K21,"")</x:f>
        <x:v>3.197674418604651</x:v>
      </x:c>
    </x:row>
    <x:row r="22">
      <x:c r="A22" s="11" t="str">
        <x:v>Buffalo Re Ltd. (Series 2017-1)</x:v>
      </x:c>
      <x:c r="B22" s="11" t="str">
        <x:v>Buffalo Re Ltd.</x:v>
      </x:c>
      <x:c r="C22" s="11" t="str">
        <x:v>ICAT Syndicate 4242</x:v>
      </x:c>
      <x:c r="D22" s="14" t="n">
        <x:v>2017</x:v>
      </x:c>
      <x:c r="E22" s="11" t="str">
        <x:v>Mar</x:v>
      </x:c>
      <x:c r="F22" s="11" t="str">
        <x:v>Class A</x:v>
      </x:c>
      <x:c r="G22" s="11" t="str">
        <x:v>U.S. named storm, U.S. earthquake</x:v>
      </x:c>
      <x:c r="H22" s="11" t="str">
        <x:v>Indemnity</x:v>
      </x:c>
      <x:c r="I22" s="11" t="str">
        <x:v>Per-occurrence</x:v>
      </x:c>
      <x:c r="J22" s="16" t="n">
        <x:v>105</x:v>
      </x:c>
      <x:c r="K22" s="18" t="n">
        <x:v>1.18</x:v>
      </x:c>
      <x:c r="L22" s="18" t="n">
        <x:v>3.25</x:v>
      </x:c>
      <x:c r="M22" s="11" t="str">
        <x:v>Final spread</x:v>
      </x:c>
      <x:c r="N22" s="11" t="str">
        <x:v>https://www.artemis.bm/deal-directory/buffalo-re-ltd-series-2017-1/</x:v>
      </x:c>
      <x:c r="O22" s="11" t="str">
        <x:v>Checked against Artemis page/text</x:v>
      </x:c>
      <x:c r="P22" s="11" t="str">
        <x:v>Final pricing stated by Artemis.</x:v>
      </x:c>
      <x:c r="Q22" s="11" t="str">
        <x:v>Yes</x:v>
      </x:c>
      <x:c r="R22" s="20" t="n">
        <x:f>IFERROR(L22/K22,"")</x:f>
        <x:v>2.7542372881355934</x:v>
      </x:c>
    </x:row>
    <x:row r="23">
      <x:c r="A23" s="11" t="str">
        <x:v>Buffalo Re Ltd. (Series 2017-1)</x:v>
      </x:c>
      <x:c r="B23" s="11" t="str">
        <x:v>Buffalo Re Ltd.</x:v>
      </x:c>
      <x:c r="C23" s="11" t="str">
        <x:v>ICAT Syndicate 4242</x:v>
      </x:c>
      <x:c r="D23" s="14" t="n">
        <x:v>2017</x:v>
      </x:c>
      <x:c r="E23" s="11" t="str">
        <x:v>Mar</x:v>
      </x:c>
      <x:c r="F23" s="11" t="str">
        <x:v>Class B</x:v>
      </x:c>
      <x:c r="G23" s="11" t="str">
        <x:v>U.S. named storm, U.S. earthquake</x:v>
      </x:c>
      <x:c r="H23" s="11" t="str">
        <x:v>Indemnity</x:v>
      </x:c>
      <x:c r="I23" s="11" t="str">
        <x:v>Per-occurrence</x:v>
      </x:c>
      <x:c r="J23" s="16" t="n">
        <x:v>59.5</x:v>
      </x:c>
      <x:c r="K23" s="18" t="n">
        <x:v>4.09</x:v>
      </x:c>
      <x:c r="L23" s="18" t="n">
        <x:v>6.75</x:v>
      </x:c>
      <x:c r="M23" s="11" t="str">
        <x:v>Final spread</x:v>
      </x:c>
      <x:c r="N23" s="11" t="str">
        <x:v>https://www.artemis.bm/deal-directory/buffalo-re-ltd-series-2017-1/</x:v>
      </x:c>
      <x:c r="O23" s="11" t="str">
        <x:v>Checked against Artemis page/text</x:v>
      </x:c>
      <x:c r="P23" s="11" t="str">
        <x:v>Final pricing stated by Artemis.</x:v>
      </x:c>
      <x:c r="Q23" s="11" t="str">
        <x:v>Yes</x:v>
      </x:c>
      <x:c r="R23" s="20" t="n">
        <x:f>IFERROR(L23/K23,"")</x:f>
        <x:v>1.6503667481662592</x:v>
      </x:c>
    </x:row>
    <x:row r="24">
      <x:c r="A24" s="11" t="str">
        <x:v>Galilei Re Ltd. (Series 2017-1)</x:v>
      </x:c>
      <x:c r="B24" s="11" t="str">
        <x:v>Galilei Re Ltd.</x:v>
      </x:c>
      <x:c r="C24" s="11" t="str">
        <x:v>XL Bermuda Ltd.</x:v>
      </x:c>
      <x:c r="D24" s="14" t="n">
        <x:v>2017</x:v>
      </x:c>
      <x:c r="E24" s="11" t="str">
        <x:v>Jan</x:v>
      </x:c>
      <x:c r="F24" s="11" t="str">
        <x:v>Class A-2</x:v>
      </x:c>
      <x:c r="G24" s="11" t="str">
        <x:v>U.S. named storm, U.S. earthquake, European windstorm, Australian tropical cyclone and earthquake</x:v>
      </x:c>
      <x:c r="H24" s="11" t="str">
        <x:v>Industry loss index</x:v>
      </x:c>
      <x:c r="I24" s="11" t="str">
        <x:v>Annual aggregate</x:v>
      </x:c>
      <x:c r="J24" s="16" t="n">
        <x:v>50</x:v>
      </x:c>
      <x:c r="K24" s="18" t="n">
        <x:v>8.65</x:v>
      </x:c>
      <x:c r="L24" s="18" t="n">
        <x:v>13.25</x:v>
      </x:c>
      <x:c r="M24" s="11" t="str">
        <x:v>Final spread</x:v>
      </x:c>
      <x:c r="N24" s="11" t="str">
        <x:v>https://www.artemis.bm/deal-directory/galilei-re-ltd-series-2017-1/</x:v>
      </x:c>
      <x:c r="O24" s="11" t="str">
        <x:v>Checked against Artemis page/text</x:v>
      </x:c>
      <x:c r="P24" s="11" t="str">
        <x:v>Final pricing fixed at upper end stated by Artemis.</x:v>
      </x:c>
      <x:c r="Q24" s="11" t="str">
        <x:v>Yes</x:v>
      </x:c>
      <x:c r="R24" s="20" t="n">
        <x:f>IFERROR(L24/K24,"")</x:f>
        <x:v>1.5317919075144508</x:v>
      </x:c>
    </x:row>
    <x:row r="25">
      <x:c r="A25" s="11" t="str">
        <x:v>Galilei Re Ltd. (Series 2017-1)</x:v>
      </x:c>
      <x:c r="B25" s="11" t="str">
        <x:v>Galilei Re Ltd.</x:v>
      </x:c>
      <x:c r="C25" s="11" t="str">
        <x:v>XL Bermuda Ltd.</x:v>
      </x:c>
      <x:c r="D25" s="14" t="n">
        <x:v>2017</x:v>
      </x:c>
      <x:c r="E25" s="11" t="str">
        <x:v>Jan</x:v>
      </x:c>
      <x:c r="F25" s="11" t="str">
        <x:v>Class B-2</x:v>
      </x:c>
      <x:c r="G25" s="11" t="str">
        <x:v>U.S. named storm, U.S. earthquake, European windstorm, Australian tropical cyclone and earthquake</x:v>
      </x:c>
      <x:c r="H25" s="11" t="str">
        <x:v>Industry loss index</x:v>
      </x:c>
      <x:c r="I25" s="11" t="str">
        <x:v>Annual aggregate</x:v>
      </x:c>
      <x:c r="J25" s="16" t="n">
        <x:v>50</x:v>
      </x:c>
      <x:c r="K25" s="18" t="n">
        <x:v>4.55</x:v>
      </x:c>
      <x:c r="L25" s="18" t="n">
        <x:v>8</x:v>
      </x:c>
      <x:c r="M25" s="11" t="str">
        <x:v>Final spread</x:v>
      </x:c>
      <x:c r="N25" s="11" t="str">
        <x:v>https://www.artemis.bm/deal-directory/galilei-re-ltd-series-2017-1/</x:v>
      </x:c>
      <x:c r="O25" s="11" t="str">
        <x:v>Checked against Artemis page/text</x:v>
      </x:c>
      <x:c r="P25" s="11" t="str">
        <x:v>Final pricing stated by Artemis.</x:v>
      </x:c>
      <x:c r="Q25" s="11" t="str">
        <x:v>Yes</x:v>
      </x:c>
      <x:c r="R25" s="20" t="n">
        <x:f>IFERROR(L25/K25,"")</x:f>
        <x:v>1.7582417582417582</x:v>
      </x:c>
    </x:row>
    <x:row r="26">
      <x:c r="A26" s="11" t="str">
        <x:v>Galilei Re Ltd. (Series 2017-1)</x:v>
      </x:c>
      <x:c r="B26" s="11" t="str">
        <x:v>Galilei Re Ltd.</x:v>
      </x:c>
      <x:c r="C26" s="11" t="str">
        <x:v>XL Bermuda Ltd.</x:v>
      </x:c>
      <x:c r="D26" s="14" t="n">
        <x:v>2017</x:v>
      </x:c>
      <x:c r="E26" s="11" t="str">
        <x:v>Jan</x:v>
      </x:c>
      <x:c r="F26" s="11" t="str">
        <x:v>Class C-2</x:v>
      </x:c>
      <x:c r="G26" s="11" t="str">
        <x:v>U.S. named storm, U.S. earthquake, European windstorm, Australian tropical cyclone and earthquake</x:v>
      </x:c>
      <x:c r="H26" s="11" t="str">
        <x:v>Industry loss index</x:v>
      </x:c>
      <x:c r="I26" s="11" t="str">
        <x:v>Annual aggregate</x:v>
      </x:c>
      <x:c r="J26" s="16" t="n">
        <x:v>150</x:v>
      </x:c>
      <x:c r="K26" s="18" t="n">
        <x:v>2.75</x:v>
      </x:c>
      <x:c r="L26" s="18" t="n">
        <x:v>6.25</x:v>
      </x:c>
      <x:c r="M26" s="11" t="str">
        <x:v>Final spread</x:v>
      </x:c>
      <x:c r="N26" s="11" t="str">
        <x:v>https://www.artemis.bm/deal-directory/galilei-re-ltd-series-2017-1/</x:v>
      </x:c>
      <x:c r="O26" s="11" t="str">
        <x:v>Checked against Artemis page/text</x:v>
      </x:c>
      <x:c r="P26" s="11" t="str">
        <x:v>Final pricing stated by Artemis.</x:v>
      </x:c>
      <x:c r="Q26" s="11" t="str">
        <x:v>Yes</x:v>
      </x:c>
      <x:c r="R26" s="20" t="n">
        <x:f>IFERROR(L26/K26,"")</x:f>
        <x:v>2.272727272727273</x:v>
      </x:c>
    </x:row>
    <x:row r="27">
      <x:c r="A27" s="11" t="str">
        <x:v>Galilei Re Ltd. (Series 2017-1)</x:v>
      </x:c>
      <x:c r="B27" s="11" t="str">
        <x:v>Galilei Re Ltd.</x:v>
      </x:c>
      <x:c r="C27" s="11" t="str">
        <x:v>XL Bermuda Ltd.</x:v>
      </x:c>
      <x:c r="D27" s="14" t="n">
        <x:v>2017</x:v>
      </x:c>
      <x:c r="E27" s="11" t="str">
        <x:v>Jan</x:v>
      </x:c>
      <x:c r="F27" s="11" t="str">
        <x:v>Class D-2</x:v>
      </x:c>
      <x:c r="G27" s="11" t="str">
        <x:v>U.S. named storm, U.S. earthquake, European windstorm, Australian tropical cyclone and earthquake</x:v>
      </x:c>
      <x:c r="H27" s="11" t="str">
        <x:v>Industry loss index</x:v>
      </x:c>
      <x:c r="I27" s="11" t="str">
        <x:v>Annual aggregate</x:v>
      </x:c>
      <x:c r="J27" s="16" t="n">
        <x:v>150</x:v>
      </x:c>
      <x:c r="K27" s="18" t="n">
        <x:v>1.86</x:v>
      </x:c>
      <x:c r="L27" s="18" t="n">
        <x:v>5.25</x:v>
      </x:c>
      <x:c r="M27" s="11" t="str">
        <x:v>Final spread</x:v>
      </x:c>
      <x:c r="N27" s="11" t="str">
        <x:v>https://www.artemis.bm/deal-directory/galilei-re-ltd-series-2017-1/</x:v>
      </x:c>
      <x:c r="O27" s="11" t="str">
        <x:v>Checked against Artemis page/text</x:v>
      </x:c>
      <x:c r="P27" s="11" t="str">
        <x:v>Final pricing at top end stated by Artemis.</x:v>
      </x:c>
      <x:c r="Q27" s="11" t="str">
        <x:v>Yes</x:v>
      </x:c>
      <x:c r="R27" s="20" t="n">
        <x:f>IFERROR(L27/K27,"")</x:f>
        <x:v>2.82258064516129</x:v>
      </x:c>
    </x:row>
    <x:row r="28">
      <x:c r="A28" s="11" t="str">
        <x:v>Galilei Re Ltd. (Series 2017-1)</x:v>
      </x:c>
      <x:c r="B28" s="11" t="str">
        <x:v>Galilei Re Ltd.</x:v>
      </x:c>
      <x:c r="C28" s="11" t="str">
        <x:v>XL Bermuda Ltd.</x:v>
      </x:c>
      <x:c r="D28" s="14" t="n">
        <x:v>2017</x:v>
      </x:c>
      <x:c r="E28" s="11" t="str">
        <x:v>Jan</x:v>
      </x:c>
      <x:c r="F28" s="11" t="str">
        <x:v>Class E-2</x:v>
      </x:c>
      <x:c r="G28" s="11" t="str">
        <x:v>U.S. named storm, U.S. earthquake, European windstorm, Australian tropical cyclone and earthquake</x:v>
      </x:c>
      <x:c r="H28" s="11" t="str">
        <x:v>Industry loss index</x:v>
      </x:c>
      <x:c r="I28" s="11" t="str">
        <x:v>Annual aggregate</x:v>
      </x:c>
      <x:c r="J28" s="16" t="n">
        <x:v>125</x:v>
      </x:c>
      <x:c r="K28" s="18" t="n">
        <x:v>1.29</x:v>
      </x:c>
      <x:c r="L28" s="18" t="n">
        <x:v>4.5</x:v>
      </x:c>
      <x:c r="M28" s="11" t="str">
        <x:v>Final spread</x:v>
      </x:c>
      <x:c r="N28" s="11" t="str">
        <x:v>https://www.artemis.bm/deal-directory/galilei-re-ltd-series-2017-1/</x:v>
      </x:c>
      <x:c r="O28" s="11" t="str">
        <x:v>Checked against Artemis page/text</x:v>
      </x:c>
      <x:c r="P28" s="11" t="str">
        <x:v>Final pricing at upper end stated by Artemis.</x:v>
      </x:c>
      <x:c r="Q28" s="11" t="str">
        <x:v>Yes</x:v>
      </x:c>
      <x:c r="R28" s="20" t="n">
        <x:f>IFERROR(L28/K28,"")</x:f>
        <x:v>3.488372093023256</x:v>
      </x:c>
    </x:row>
    <x:row r="29">
      <x:c r="A29" s="11" t="str">
        <x:v>Galileo Re Ltd. (Series 2017-1)</x:v>
      </x:c>
      <x:c r="B29" s="11" t="str">
        <x:v>Galileo Re Ltd.</x:v>
      </x:c>
      <x:c r="C29" s="11" t="str">
        <x:v>XL Bermuda Ltd.</x:v>
      </x:c>
      <x:c r="D29" s="14" t="n">
        <x:v>2017</x:v>
      </x:c>
      <x:c r="E29" s="11" t="str">
        <x:v>Nov</x:v>
      </x:c>
      <x:c r="F29" s="11" t="str">
        <x:v>Class A</x:v>
      </x:c>
      <x:c r="G29" s="11" t="str">
        <x:v>U.S. named storm/earthquake/severe thunderstorm, Canada earthquake, European windstorm, Australia cyclone/earthquake</x:v>
      </x:c>
      <x:c r="H29" s="11" t="str">
        <x:v>Industry loss index</x:v>
      </x:c>
      <x:c r="I29" s="11" t="str">
        <x:v>Annual aggregate</x:v>
      </x:c>
      <x:c r="J29" s="16" t="n">
        <x:v>75</x:v>
      </x:c>
      <x:c r="K29" s="18" t="n">
        <x:v>3.37</x:v>
      </x:c>
      <x:c r="L29" s="18" t="n">
        <x:v>7.5</x:v>
      </x:c>
      <x:c r="M29" s="11" t="str">
        <x:v>Final/fixed guidance</x:v>
      </x:c>
      <x:c r="N29" s="11" t="str">
        <x:v>https://www.artemis.bm/deal-directory/galileo-re-ltd-series-2017-1/</x:v>
      </x:c>
      <x:c r="O29" s="11" t="str">
        <x:v>Checked against Artemis page/text</x:v>
      </x:c>
      <x:c r="P29" s="11" t="str">
        <x:v>Pricing fixed at low end of guidance stated by Artemis.</x:v>
      </x:c>
      <x:c r="Q29" s="11" t="str">
        <x:v>Yes</x:v>
      </x:c>
      <x:c r="R29" s="20" t="n">
        <x:f>IFERROR(L29/K29,"")</x:f>
        <x:v>2.2255192878338277</x:v>
      </x:c>
    </x:row>
    <x:row r="30">
      <x:c r="A30" s="11" t="str">
        <x:v>Galileo Re Ltd. (Series 2017-1)</x:v>
      </x:c>
      <x:c r="B30" s="11" t="str">
        <x:v>Galileo Re Ltd.</x:v>
      </x:c>
      <x:c r="C30" s="11" t="str">
        <x:v>XL Bermuda Ltd.</x:v>
      </x:c>
      <x:c r="D30" s="14" t="n">
        <x:v>2017</x:v>
      </x:c>
      <x:c r="E30" s="11" t="str">
        <x:v>Nov</x:v>
      </x:c>
      <x:c r="F30" s="11" t="str">
        <x:v>Class B</x:v>
      </x:c>
      <x:c r="G30" s="11" t="str">
        <x:v>U.S. named storm/earthquake/severe thunderstorm, Canada earthquake, European windstorm, Australia cyclone/earthquake</x:v>
      </x:c>
      <x:c r="H30" s="11" t="str">
        <x:v>Industry loss index</x:v>
      </x:c>
      <x:c r="I30" s="11" t="str">
        <x:v>Annual aggregate</x:v>
      </x:c>
      <x:c r="J30" s="16" t="n">
        <x:v>75</x:v>
      </x:c>
      <x:c r="K30" s="18" t="n">
        <x:v>9.72</x:v>
      </x:c>
      <x:c r="L30" s="18" t="n">
        <x:v>17.5</x:v>
      </x:c>
      <x:c r="M30" s="11" t="str">
        <x:v>Final/fixed guidance</x:v>
      </x:c>
      <x:c r="N30" s="11" t="str">
        <x:v>https://www.artemis.bm/deal-directory/galileo-re-ltd-series-2017-1/</x:v>
      </x:c>
      <x:c r="O30" s="11" t="str">
        <x:v>Checked against Artemis page/text</x:v>
      </x:c>
      <x:c r="P30" s="11" t="str">
        <x:v>Pricing moved to top of guidance stated by Artemis.</x:v>
      </x:c>
      <x:c r="Q30" s="11" t="str">
        <x:v>Yes</x:v>
      </x:c>
      <x:c r="R30" s="20" t="n">
        <x:f>IFERROR(L30/K30,"")</x:f>
        <x:v>1.8004115226337447</x:v>
      </x:c>
    </x:row>
    <x:row r="31">
      <x:c r="A31" s="11" t="str">
        <x:v>Hexagon Reinsurance DAC (Series 2017-1)</x:v>
      </x:c>
      <x:c r="B31" s="11" t="str">
        <x:v>Hexagon Reinsurance DAC</x:v>
      </x:c>
      <x:c r="C31" s="11" t="str">
        <x:v>Covea Group</x:v>
      </x:c>
      <x:c r="D31" s="14" t="n">
        <x:v>2017</x:v>
      </x:c>
      <x:c r="E31" s="11" t="str">
        <x:v>Dec</x:v>
      </x:c>
      <x:c r="F31" s="11" t="str">
        <x:v>Class A</x:v>
      </x:c>
      <x:c r="G31" s="11" t="str">
        <x:v>European windstorm</x:v>
      </x:c>
      <x:c r="H31" s="11" t="str">
        <x:v>Indemnity</x:v>
      </x:c>
      <x:c r="I31" s="11" t="str">
        <x:v>Annual aggregate</x:v>
      </x:c>
      <x:c r="J31" s="16" t="n">
        <x:v>53</x:v>
      </x:c>
      <x:c r="K31" s="18" t="n">
        <x:v>6.75</x:v>
      </x:c>
      <x:c r="L31" s="18" t="n">
        <x:v>8</x:v>
      </x:c>
      <x:c r="M31" s="11" t="str">
        <x:v>Final spread</x:v>
      </x:c>
      <x:c r="N31" s="11" t="str">
        <x:v>https://www.artemis.bm/deal-directory/hexagon-reinsurance-dac-series-2017-1/</x:v>
      </x:c>
      <x:c r="O31" s="11" t="str">
        <x:v>Checked against Artemis page/text</x:v>
      </x:c>
      <x:c r="P31" s="11" t="str">
        <x:v>EUR 45m approximately USD 53m; final pricing stated by Artemis.</x:v>
      </x:c>
      <x:c r="Q31" s="11" t="str">
        <x:v>Yes</x:v>
      </x:c>
      <x:c r="R31" s="20" t="n">
        <x:f>IFERROR(L31/K31,"")</x:f>
        <x:v>1.1851851851851851</x:v>
      </x:c>
    </x:row>
    <x:row r="32">
      <x:c r="A32" s="11" t="str">
        <x:v>Hexagon Reinsurance DAC (Series 2017-1)</x:v>
      </x:c>
      <x:c r="B32" s="11" t="str">
        <x:v>Hexagon Reinsurance DAC</x:v>
      </x:c>
      <x:c r="C32" s="11" t="str">
        <x:v>Covea Group</x:v>
      </x:c>
      <x:c r="D32" s="14" t="n">
        <x:v>2017</x:v>
      </x:c>
      <x:c r="E32" s="11" t="str">
        <x:v>Dec</x:v>
      </x:c>
      <x:c r="F32" s="11" t="str">
        <x:v>Class B</x:v>
      </x:c>
      <x:c r="G32" s="11" t="str">
        <x:v>European windstorm</x:v>
      </x:c>
      <x:c r="H32" s="11" t="str">
        <x:v>Indemnity</x:v>
      </x:c>
      <x:c r="I32" s="11" t="str">
        <x:v>Annual aggregate</x:v>
      </x:c>
      <x:c r="J32" s="16" t="n">
        <x:v>53</x:v>
      </x:c>
      <x:c r="K32" s="18" t="n">
        <x:v>5.52</x:v>
      </x:c>
      <x:c r="L32" s="18" t="n">
        <x:v>6.5</x:v>
      </x:c>
      <x:c r="M32" s="11" t="str">
        <x:v>Final spread</x:v>
      </x:c>
      <x:c r="N32" s="11" t="str">
        <x:v>https://www.artemis.bm/deal-directory/hexagon-reinsurance-dac-series-2017-1/</x:v>
      </x:c>
      <x:c r="O32" s="11" t="str">
        <x:v>Checked against Artemis page/text</x:v>
      </x:c>
      <x:c r="P32" s="11" t="str">
        <x:v>EUR 45m approximately USD 53m; final pricing stated by Artemis.</x:v>
      </x:c>
      <x:c r="Q32" s="11" t="str">
        <x:v>Yes</x:v>
      </x:c>
      <x:c r="R32" s="20" t="n">
        <x:f>IFERROR(L32/K32,"")</x:f>
        <x:v>1.177536231884058</x:v>
      </x:c>
    </x:row>
    <x:row r="33">
      <x:c r="A33" s="11" t="str">
        <x:v>Riverfront Re Ltd. (Series 2017-1)</x:v>
      </x:c>
      <x:c r="B33" s="11" t="str">
        <x:v>Riverfront Re Ltd.</x:v>
      </x:c>
      <x:c r="C33" s="11" t="str">
        <x:v>Great American Insurance Group</x:v>
      </x:c>
      <x:c r="D33" s="14" t="n">
        <x:v>2017</x:v>
      </x:c>
      <x:c r="E33" s="11" t="str">
        <x:v>May</x:v>
      </x:c>
      <x:c r="F33" s="11" t="str">
        <x:v>Class A</x:v>
      </x:c>
      <x:c r="G33" s="11" t="str">
        <x:v>U.S./Canada named storm, earthquake, severe thunderstorm, winter storm, wildfire, other perils</x:v>
      </x:c>
      <x:c r="H33" s="11" t="str">
        <x:v>Indemnity</x:v>
      </x:c>
      <x:c r="I33" s="11" t="str">
        <x:v>Mixed occurrence/aggregate</x:v>
      </x:c>
      <x:c r="J33" s="16" t="n">
        <x:v>142.5</x:v>
      </x:c>
      <x:c r="K33" s="18" t="n">
        <x:v>1.08</x:v>
      </x:c>
      <x:c r="L33" s="18" t="n">
        <x:v>4.5</x:v>
      </x:c>
      <x:c r="M33" s="11" t="str">
        <x:v>Final spread</x:v>
      </x:c>
      <x:c r="N33" s="11" t="str">
        <x:v>https://www.artemis.bm/deal-directory/riverfront-re-ltd-series-2017-1/</x:v>
      </x:c>
      <x:c r="O33" s="11" t="str">
        <x:v>Checked against Artemis page/text</x:v>
      </x:c>
      <x:c r="P33" s="11" t="str">
        <x:v>Final pricing stated by Artemis.</x:v>
      </x:c>
      <x:c r="Q33" s="11" t="str">
        <x:v>Yes</x:v>
      </x:c>
      <x:c r="R33" s="20" t="n">
        <x:f>IFERROR(L33/K33,"")</x:f>
        <x:v>4.166666666666666</x:v>
      </x:c>
    </x:row>
    <x:row r="34">
      <x:c r="A34" s="11" t="str">
        <x:v>Riverfront Re Ltd. (Series 2017-1)</x:v>
      </x:c>
      <x:c r="B34" s="11" t="str">
        <x:v>Riverfront Re Ltd.</x:v>
      </x:c>
      <x:c r="C34" s="11" t="str">
        <x:v>Great American Insurance Group</x:v>
      </x:c>
      <x:c r="D34" s="14" t="n">
        <x:v>2017</x:v>
      </x:c>
      <x:c r="E34" s="11" t="str">
        <x:v>May</x:v>
      </x:c>
      <x:c r="F34" s="11" t="str">
        <x:v>Class B</x:v>
      </x:c>
      <x:c r="G34" s="11" t="str">
        <x:v>U.S./Canada named storm, earthquake, severe thunderstorm, winter storm, wildfire, other perils</x:v>
      </x:c>
      <x:c r="H34" s="11" t="str">
        <x:v>Indemnity</x:v>
      </x:c>
      <x:c r="I34" s="11" t="str">
        <x:v>Mixed occurrence/aggregate</x:v>
      </x:c>
      <x:c r="J34" s="16" t="n">
        <x:v>47.5</x:v>
      </x:c>
      <x:c r="K34" s="18" t="n">
        <x:v>2.63</x:v>
      </x:c>
      <x:c r="L34" s="18" t="n">
        <x:v>6.25</x:v>
      </x:c>
      <x:c r="M34" s="11" t="str">
        <x:v>Final spread</x:v>
      </x:c>
      <x:c r="N34" s="11" t="str">
        <x:v>https://www.artemis.bm/deal-directory/riverfront-re-ltd-series-2017-1/</x:v>
      </x:c>
      <x:c r="O34" s="11" t="str">
        <x:v>Checked against Artemis page/text</x:v>
      </x:c>
      <x:c r="P34" s="11" t="str">
        <x:v>Final pricing stated by Artemis.</x:v>
      </x:c>
      <x:c r="Q34" s="11" t="str">
        <x:v>Yes</x:v>
      </x:c>
      <x:c r="R34" s="20" t="n">
        <x:f>IFERROR(L34/K34,"")</x:f>
        <x:v>2.376425855513308</x:v>
      </x:c>
    </x:row>
    <x:row r="35">
      <x:c r="A35" s="11" t="str">
        <x:v>Sanders Re Ltd. (Series 2017-1)</x:v>
      </x:c>
      <x:c r="B35" s="11" t="str">
        <x:v>Sanders Re Ltd.</x:v>
      </x:c>
      <x:c r="C35" s="11" t="str">
        <x:v>Allstate</x:v>
      </x:c>
      <x:c r="D35" s="14" t="n">
        <x:v>2017</x:v>
      </x:c>
      <x:c r="E35" s="11" t="str">
        <x:v>Mar</x:v>
      </x:c>
      <x:c r="F35" s="11" t="str">
        <x:v>Class A</x:v>
      </x:c>
      <x:c r="G35" s="11" t="str">
        <x:v>U.S. named storm, U.S. earthquake, severe thunderstorm, volcanic eruption, meteorite impact</x:v>
      </x:c>
      <x:c r="H35" s="11" t="str">
        <x:v>Indemnity</x:v>
      </x:c>
      <x:c r="I35" s="11" t="str">
        <x:v>Per-occurrence</x:v>
      </x:c>
      <x:c r="J35" s="16" t="n">
        <x:v>375</x:v>
      </x:c>
      <x:c r="K35" s="18" t="n">
        <x:v>0.86</x:v>
      </x:c>
      <x:c r="L35" s="18" t="n">
        <x:v>3</x:v>
      </x:c>
      <x:c r="M35" s="11" t="str">
        <x:v>Final spread</x:v>
      </x:c>
      <x:c r="N35" s="11" t="str">
        <x:v>https://www.artemis.bm/deal-directory/sanders-re-ltd-series-2017-1/</x:v>
      </x:c>
      <x:c r="O35" s="11" t="str">
        <x:v>Checked against Artemis page/text</x:v>
      </x:c>
      <x:c r="P35" s="11" t="str">
        <x:v>Final pricing stated by Artemis.</x:v>
      </x:c>
      <x:c r="Q35" s="11" t="str">
        <x:v>Yes</x:v>
      </x:c>
      <x:c r="R35" s="20" t="n">
        <x:f>IFERROR(L35/K35,"")</x:f>
        <x:v>3.488372093023256</x:v>
      </x:c>
    </x:row>
    <x:row r="36">
      <x:c r="A36" s="11" t="str">
        <x:v>Tailwind Re Ltd. (Series 2017-1)</x:v>
      </x:c>
      <x:c r="B36" s="11" t="str">
        <x:v>Tailwind Re Ltd.</x:v>
      </x:c>
      <x:c r="C36" s="11" t="str">
        <x:v>Validus Holdings</x:v>
      </x:c>
      <x:c r="D36" s="14" t="n">
        <x:v>2017</x:v>
      </x:c>
      <x:c r="E36" s="11" t="str">
        <x:v>Dec</x:v>
      </x:c>
      <x:c r="F36" s="11" t="str">
        <x:v>Class A</x:v>
      </x:c>
      <x:c r="G36" s="11" t="str">
        <x:v>U.S., Canada, Puerto Rico, U.S. Virgin Islands named storms and earthquakes</x:v>
      </x:c>
      <x:c r="H36" s="11" t="str">
        <x:v>Industry loss index</x:v>
      </x:c>
      <x:c r="I36" s="11" t="str">
        <x:v>Annual aggregate</x:v>
      </x:c>
      <x:c r="J36" s="16" t="n">
        <x:v>150</x:v>
      </x:c>
      <x:c r="K36" s="18" t="n">
        <x:v>3.41</x:v>
      </x:c>
      <x:c r="L36" s="18" t="n">
        <x:v>7.5</x:v>
      </x:c>
      <x:c r="M36" s="11" t="str">
        <x:v>Reduced guidance midpoint</x:v>
      </x:c>
      <x:c r="N36" s="11" t="str">
        <x:v>https://www.artemis.bm/deal-directory/tailwind-re-ltd-series-2017-1/</x:v>
      </x:c>
      <x:c r="O36" s="11" t="str">
        <x:v>Checked against Artemis page/text</x:v>
      </x:c>
      <x:c r="P36" s="11" t="str">
        <x:v>Midpoint of reduced Artemis guidance 7.25%-7.75%.</x:v>
      </x:c>
      <x:c r="Q36" s="11" t="str">
        <x:v>Yes</x:v>
      </x:c>
      <x:c r="R36" s="20" t="n">
        <x:f>IFERROR(L36/K36,"")</x:f>
        <x:v>2.19941348973607</x:v>
      </x:c>
    </x:row>
    <x:row r="37">
      <x:c r="A37" s="11" t="str">
        <x:v>Tailwind Re Ltd. (Series 2017-1)</x:v>
      </x:c>
      <x:c r="B37" s="11" t="str">
        <x:v>Tailwind Re Ltd.</x:v>
      </x:c>
      <x:c r="C37" s="11" t="str">
        <x:v>Validus Holdings</x:v>
      </x:c>
      <x:c r="D37" s="14" t="n">
        <x:v>2017</x:v>
      </x:c>
      <x:c r="E37" s="11" t="str">
        <x:v>Dec</x:v>
      </x:c>
      <x:c r="F37" s="11" t="str">
        <x:v>Class B</x:v>
      </x:c>
      <x:c r="G37" s="11" t="str">
        <x:v>U.S., Canada, Puerto Rico, U.S. Virgin Islands named storms and earthquakes</x:v>
      </x:c>
      <x:c r="H37" s="11" t="str">
        <x:v>Industry loss index</x:v>
      </x:c>
      <x:c r="I37" s="11" t="str">
        <x:v>Annual aggregate</x:v>
      </x:c>
      <x:c r="J37" s="16" t="n">
        <x:v>150</x:v>
      </x:c>
      <x:c r="K37" s="18" t="n">
        <x:v>4.43</x:v>
      </x:c>
      <x:c r="L37" s="18" t="n">
        <x:v>9.25</x:v>
      </x:c>
      <x:c r="M37" s="11" t="str">
        <x:v>Reduced guidance midpoint</x:v>
      </x:c>
      <x:c r="N37" s="11" t="str">
        <x:v>https://www.artemis.bm/deal-directory/tailwind-re-ltd-series-2017-1/</x:v>
      </x:c>
      <x:c r="O37" s="11" t="str">
        <x:v>Checked against Artemis page/text</x:v>
      </x:c>
      <x:c r="P37" s="11" t="str">
        <x:v>Midpoint of reduced Artemis guidance 9%-9.5%.</x:v>
      </x:c>
      <x:c r="Q37" s="11" t="str">
        <x:v>Yes</x:v>
      </x:c>
      <x:c r="R37" s="20" t="n">
        <x:f>IFERROR(L37/K37,"")</x:f>
        <x:v>2.08803611738149</x:v>
      </x:c>
    </x:row>
    <x:row r="38">
      <x:c r="A38" s="11" t="str">
        <x:v>Tailwind Re Ltd. (Series 2017-1)</x:v>
      </x:c>
      <x:c r="B38" s="11" t="str">
        <x:v>Tailwind Re Ltd.</x:v>
      </x:c>
      <x:c r="C38" s="11" t="str">
        <x:v>Validus Holdings</x:v>
      </x:c>
      <x:c r="D38" s="14" t="n">
        <x:v>2017</x:v>
      </x:c>
      <x:c r="E38" s="11" t="str">
        <x:v>Dec</x:v>
      </x:c>
      <x:c r="F38" s="11" t="str">
        <x:v>Class C</x:v>
      </x:c>
      <x:c r="G38" s="11" t="str">
        <x:v>U.S., Canada, Puerto Rico, U.S. Virgin Islands named storms and earthquakes</x:v>
      </x:c>
      <x:c r="H38" s="11" t="str">
        <x:v>Industry loss index</x:v>
      </x:c>
      <x:c r="I38" s="11" t="str">
        <x:v>Annual aggregate</x:v>
      </x:c>
      <x:c r="J38" s="16" t="n">
        <x:v>100</x:v>
      </x:c>
      <x:c r="K38" s="18" t="n">
        <x:v>5.64</x:v>
      </x:c>
      <x:c r="L38" s="18" t="n">
        <x:v>11.25</x:v>
      </x:c>
      <x:c r="M38" s="11" t="str">
        <x:v>Reduced guidance midpoint</x:v>
      </x:c>
      <x:c r="N38" s="11" t="str">
        <x:v>https://www.artemis.bm/deal-directory/tailwind-re-ltd-series-2017-1/</x:v>
      </x:c>
      <x:c r="O38" s="11" t="str">
        <x:v>Checked against Artemis page/text</x:v>
      </x:c>
      <x:c r="P38" s="11" t="str">
        <x:v>Midpoint of reduced Artemis guidance 11%-11.5%.</x:v>
      </x:c>
      <x:c r="Q38" s="11" t="str">
        <x:v>Yes</x:v>
      </x:c>
      <x:c r="R38" s="20" t="n">
        <x:f>IFERROR(L38/K38,"")</x:f>
        <x:v>1.9946808510638299</x:v>
      </x:c>
    </x:row>
    <x:row r="39">
      <x:c r="A39" s="11" t="str">
        <x:v>Ursa Re Ltd. (Series 2017-1)</x:v>
      </x:c>
      <x:c r="B39" s="11" t="str">
        <x:v>Ursa Re Ltd.</x:v>
      </x:c>
      <x:c r="C39" s="11" t="str">
        <x:v>California Earthquake Authority</x:v>
      </x:c>
      <x:c r="D39" s="14" t="n">
        <x:v>2017</x:v>
      </x:c>
      <x:c r="E39" s="11" t="str">
        <x:v>May</x:v>
      </x:c>
      <x:c r="F39" s="11" t="str">
        <x:v>Class B</x:v>
      </x:c>
      <x:c r="G39" s="11" t="str">
        <x:v>California earthquake</x:v>
      </x:c>
      <x:c r="H39" s="11" t="str">
        <x:v>Indemnity</x:v>
      </x:c>
      <x:c r="I39" s="11" t="str">
        <x:v>Annual aggregate</x:v>
      </x:c>
      <x:c r="J39" s="16" t="n">
        <x:v>425</x:v>
      </x:c>
      <x:c r="K39" s="18" t="n">
        <x:v>1.11</x:v>
      </x:c>
      <x:c r="L39" s="18" t="n">
        <x:v>3.5</x:v>
      </x:c>
      <x:c r="M39" s="11" t="str">
        <x:v>Fixed guidance</x:v>
      </x:c>
      <x:c r="N39" s="11" t="str">
        <x:v>https://www.artemis.bm/deal-directory/ursa-re-ltd-series-2017-1/</x:v>
      </x:c>
      <x:c r="O39" s="11" t="str">
        <x:v>Checked against Artemis page/text</x:v>
      </x:c>
      <x:c r="P39" s="11" t="str">
        <x:v>Price guidance fixed at upper end stated by Artemis.</x:v>
      </x:c>
      <x:c r="Q39" s="11" t="str">
        <x:v>Yes</x:v>
      </x:c>
      <x:c r="R39" s="20" t="n">
        <x:f>IFERROR(L39/K39,"")</x:f>
        <x:v>3.153153153153153</x:v>
      </x:c>
    </x:row>
    <x:row r="40">
      <x:c r="A40" s="11" t="str">
        <x:v>Ursa Re Ltd. (Series 2017-1)</x:v>
      </x:c>
      <x:c r="B40" s="11" t="str">
        <x:v>Ursa Re Ltd.</x:v>
      </x:c>
      <x:c r="C40" s="11" t="str">
        <x:v>California Earthquake Authority</x:v>
      </x:c>
      <x:c r="D40" s="14" t="n">
        <x:v>2017</x:v>
      </x:c>
      <x:c r="E40" s="11" t="str">
        <x:v>May</x:v>
      </x:c>
      <x:c r="F40" s="11" t="str">
        <x:v>Class E</x:v>
      </x:c>
      <x:c r="G40" s="11" t="str">
        <x:v>California earthquake</x:v>
      </x:c>
      <x:c r="H40" s="11" t="str">
        <x:v>Indemnity</x:v>
      </x:c>
      <x:c r="I40" s="11" t="str">
        <x:v>Annual aggregate</x:v>
      </x:c>
      <x:c r="J40" s="16" t="n">
        <x:v>500</x:v>
      </x:c>
      <x:c r="K40" s="18" t="n">
        <x:v>3.33</x:v>
      </x:c>
      <x:c r="L40" s="18" t="n">
        <x:v>6</x:v>
      </x:c>
      <x:c r="M40" s="11" t="str">
        <x:v>Fixed guidance</x:v>
      </x:c>
      <x:c r="N40" s="11" t="str">
        <x:v>https://www.artemis.bm/deal-directory/ursa-re-ltd-series-2017-1/</x:v>
      </x:c>
      <x:c r="O40" s="11" t="str">
        <x:v>Checked against Artemis page/text</x:v>
      </x:c>
      <x:c r="P40" s="11" t="str">
        <x:v>Top-end pricing assumed from Artemis update on upper-end pricing for both tranches.</x:v>
      </x:c>
      <x:c r="Q40" s="11" t="str">
        <x:v>Yes</x:v>
      </x:c>
      <x:c r="R40" s="20" t="n">
        <x:f>IFERROR(L40/K40,"")</x:f>
        <x:v>1.8018018018018018</x:v>
      </x:c>
    </x:row>
    <x:row r="41">
      <x:c r="A41" s="11" t="str">
        <x:v>Akibare Re Ltd. (Series 2018-1)</x:v>
      </x:c>
      <x:c r="B41" s="11" t="str">
        <x:v>Akibare Re Ltd.</x:v>
      </x:c>
      <x:c r="C41" s="11" t="str">
        <x:v>Mitsui Sumitomo / Aioi Nissay Dowa</x:v>
      </x:c>
      <x:c r="D41" s="14" t="n">
        <x:v>2018</x:v>
      </x:c>
      <x:c r="E41" s="11" t="str">
        <x:v>Mar</x:v>
      </x:c>
      <x:c r="F41" s="11" t="str">
        <x:v>Class A</x:v>
      </x:c>
      <x:c r="G41" s="11" t="str">
        <x:v>Japan typhoon, flood, earthquake fire</x:v>
      </x:c>
      <x:c r="H41" s="11" t="str">
        <x:v>Indemnity</x:v>
      </x:c>
      <x:c r="I41" s="11" t="str">
        <x:v>Per-occurrence</x:v>
      </x:c>
      <x:c r="J41" s="16" t="n">
        <x:v>220</x:v>
      </x:c>
      <x:c r="K41" s="18" t="n">
        <x:v>0.73</x:v>
      </x:c>
      <x:c r="L41" s="18" t="n">
        <x:v>1.9</x:v>
      </x:c>
      <x:c r="M41" s="11" t="str">
        <x:v>Final spread</x:v>
      </x:c>
      <x:c r="N41" s="11" t="str">
        <x:v>https://www.artemis.bm/deal-directory/akibare-re-ltd-series-2018-1/</x:v>
      </x:c>
      <x:c r="O41" s="11" t="str">
        <x:v>Checked against Artemis page/text</x:v>
      </x:c>
      <x:c r="P41" s="11" t="str">
        <x:v>Final pricing stated by Artemis.</x:v>
      </x:c>
      <x:c r="Q41" s="11" t="str">
        <x:v>Yes</x:v>
      </x:c>
      <x:c r="R41" s="20" t="n">
        <x:f>IFERROR(L41/K41,"")</x:f>
        <x:v>2.602739726027397</x:v>
      </x:c>
    </x:row>
    <x:row r="42">
      <x:c r="A42" s="11" t="str">
        <x:v>Akibare Re Ltd. (Series 2018-1)</x:v>
      </x:c>
      <x:c r="B42" s="11" t="str">
        <x:v>Akibare Re Ltd.</x:v>
      </x:c>
      <x:c r="C42" s="11" t="str">
        <x:v>Mitsui Sumitomo / Aioi Nissay Dowa</x:v>
      </x:c>
      <x:c r="D42" s="14" t="n">
        <x:v>2018</x:v>
      </x:c>
      <x:c r="E42" s="11" t="str">
        <x:v>Mar</x:v>
      </x:c>
      <x:c r="F42" s="11" t="str">
        <x:v>Class B</x:v>
      </x:c>
      <x:c r="G42" s="11" t="str">
        <x:v>Japan typhoon and flood</x:v>
      </x:c>
      <x:c r="H42" s="11" t="str">
        <x:v>Indemnity</x:v>
      </x:c>
      <x:c r="I42" s="11" t="str">
        <x:v>Per-occurrence</x:v>
      </x:c>
      <x:c r="J42" s="16" t="n">
        <x:v>100</x:v>
      </x:c>
      <x:c r="K42" s="18" t="n">
        <x:v>0.99</x:v>
      </x:c>
      <x:c r="L42" s="18" t="n">
        <x:v>1.9</x:v>
      </x:c>
      <x:c r="M42" s="11" t="str">
        <x:v>Final spread</x:v>
      </x:c>
      <x:c r="N42" s="11" t="str">
        <x:v>https://www.artemis.bm/deal-directory/akibare-re-ltd-series-2018-1/</x:v>
      </x:c>
      <x:c r="O42" s="11" t="str">
        <x:v>Checked against Artemis page/text</x:v>
      </x:c>
      <x:c r="P42" s="11" t="str">
        <x:v>Final pricing stated by Artemis.</x:v>
      </x:c>
      <x:c r="Q42" s="11" t="str">
        <x:v>Yes</x:v>
      </x:c>
      <x:c r="R42" s="20" t="n">
        <x:f>IFERROR(L42/K42,"")</x:f>
        <x:v>1.9191919191919191</x:v>
      </x:c>
    </x:row>
    <x:row r="43">
      <x:c r="A43" s="11" t="str">
        <x:v>Caelus Re V Ltd. (Series 2018-1)</x:v>
      </x:c>
      <x:c r="B43" s="11" t="str">
        <x:v>Caelus Re V Ltd.</x:v>
      </x:c>
      <x:c r="C43" s="11" t="str">
        <x:v>Nationwide Mutual Insurance Co.</x:v>
      </x:c>
      <x:c r="D43" s="14" t="n">
        <x:v>2018</x:v>
      </x:c>
      <x:c r="E43" s="11" t="str">
        <x:v>May</x:v>
      </x:c>
      <x:c r="F43" s="11" t="str">
        <x:v>Class A</x:v>
      </x:c>
      <x:c r="G43" s="11" t="str">
        <x:v>U.S. multi-peril</x:v>
      </x:c>
      <x:c r="H43" s="11" t="str">
        <x:v>Indemnity</x:v>
      </x:c>
      <x:c r="I43" s="11" t="str">
        <x:v>Annual aggregate</x:v>
      </x:c>
      <x:c r="J43" s="16" t="n">
        <x:v>125</x:v>
      </x:c>
      <x:c r="K43" s="18" t="n">
        <x:v>0.63</x:v>
      </x:c>
      <x:c r="L43" s="18" t="n">
        <x:v>3.5</x:v>
      </x:c>
      <x:c r="M43" s="11" t="str">
        <x:v>Final spread</x:v>
      </x:c>
      <x:c r="N43" s="11" t="str">
        <x:v>https://www.artemis.bm/deal-directory/caelus-re-v-ltd-series-2018-1/</x:v>
      </x:c>
      <x:c r="O43" s="11" t="str">
        <x:v>Checked against Artemis page/text</x:v>
      </x:c>
      <x:c r="P43" s="11" t="str">
        <x:v>Final pricing stated by Artemis.</x:v>
      </x:c>
      <x:c r="Q43" s="11" t="str">
        <x:v>Yes</x:v>
      </x:c>
      <x:c r="R43" s="20" t="n">
        <x:f>IFERROR(L43/K43,"")</x:f>
        <x:v>5.555555555555555</x:v>
      </x:c>
    </x:row>
    <x:row r="44">
      <x:c r="A44" s="11" t="str">
        <x:v>Caelus Re V Ltd. (Series 2018-1)</x:v>
      </x:c>
      <x:c r="B44" s="11" t="str">
        <x:v>Caelus Re V Ltd.</x:v>
      </x:c>
      <x:c r="C44" s="11" t="str">
        <x:v>Nationwide Mutual Insurance Co.</x:v>
      </x:c>
      <x:c r="D44" s="14" t="n">
        <x:v>2018</x:v>
      </x:c>
      <x:c r="E44" s="11" t="str">
        <x:v>May</x:v>
      </x:c>
      <x:c r="F44" s="11" t="str">
        <x:v>Class B</x:v>
      </x:c>
      <x:c r="G44" s="11" t="str">
        <x:v>U.S. multi-peril</x:v>
      </x:c>
      <x:c r="H44" s="11" t="str">
        <x:v>Indemnity</x:v>
      </x:c>
      <x:c r="I44" s="11" t="str">
        <x:v>Annual aggregate</x:v>
      </x:c>
      <x:c r="J44" s="16" t="n">
        <x:v>75</x:v>
      </x:c>
      <x:c r="K44" s="18" t="n">
        <x:v>1.48</x:v>
      </x:c>
      <x:c r="L44" s="18" t="n">
        <x:v>4.5</x:v>
      </x:c>
      <x:c r="M44" s="11" t="str">
        <x:v>Final spread</x:v>
      </x:c>
      <x:c r="N44" s="11" t="str">
        <x:v>https://www.artemis.bm/deal-directory/caelus-re-v-ltd-series-2018-1/</x:v>
      </x:c>
      <x:c r="O44" s="11" t="str">
        <x:v>Checked against Artemis page/text</x:v>
      </x:c>
      <x:c r="P44" s="11" t="str">
        <x:v>Final pricing stated by Artemis.</x:v>
      </x:c>
      <x:c r="Q44" s="11" t="str">
        <x:v>Yes</x:v>
      </x:c>
      <x:c r="R44" s="20" t="n">
        <x:f>IFERROR(L44/K44,"")</x:f>
        <x:v>3.040540540540541</x:v>
      </x:c>
    </x:row>
    <x:row r="45">
      <x:c r="A45" s="11" t="str">
        <x:v>Caelus Re V Ltd. (Series 2018-1)</x:v>
      </x:c>
      <x:c r="B45" s="11" t="str">
        <x:v>Caelus Re V Ltd.</x:v>
      </x:c>
      <x:c r="C45" s="11" t="str">
        <x:v>Nationwide Mutual Insurance Co.</x:v>
      </x:c>
      <x:c r="D45" s="14" t="n">
        <x:v>2018</x:v>
      </x:c>
      <x:c r="E45" s="11" t="str">
        <x:v>May</x:v>
      </x:c>
      <x:c r="F45" s="11" t="str">
        <x:v>Class C</x:v>
      </x:c>
      <x:c r="G45" s="11" t="str">
        <x:v>U.S. multi-peril</x:v>
      </x:c>
      <x:c r="H45" s="11" t="str">
        <x:v>Indemnity</x:v>
      </x:c>
      <x:c r="I45" s="11" t="str">
        <x:v>Annual aggregate</x:v>
      </x:c>
      <x:c r="J45" s="16" t="n">
        <x:v>175</x:v>
      </x:c>
      <x:c r="K45" s="18" t="n">
        <x:v>2.94</x:v>
      </x:c>
      <x:c r="L45" s="18" t="n">
        <x:v>7.5</x:v>
      </x:c>
      <x:c r="M45" s="11" t="str">
        <x:v>Final spread</x:v>
      </x:c>
      <x:c r="N45" s="11" t="str">
        <x:v>https://www.artemis.bm/deal-directory/caelus-re-v-ltd-series-2018-1/</x:v>
      </x:c>
      <x:c r="O45" s="11" t="str">
        <x:v>Checked against Artemis page/text</x:v>
      </x:c>
      <x:c r="P45" s="11" t="str">
        <x:v>Final pricing stated by Artemis.</x:v>
      </x:c>
      <x:c r="Q45" s="11" t="str">
        <x:v>Yes</x:v>
      </x:c>
      <x:c r="R45" s="20" t="n">
        <x:f>IFERROR(L45/K45,"")</x:f>
        <x:v>2.5510204081632653</x:v>
      </x:c>
    </x:row>
    <x:row r="46">
      <x:c r="A46" s="11" t="str">
        <x:v>Caelus Re V Ltd. (Series 2018-1)</x:v>
      </x:c>
      <x:c r="B46" s="11" t="str">
        <x:v>Caelus Re V Ltd.</x:v>
      </x:c>
      <x:c r="C46" s="11" t="str">
        <x:v>Nationwide Mutual Insurance Co.</x:v>
      </x:c>
      <x:c r="D46" s="14" t="n">
        <x:v>2018</x:v>
      </x:c>
      <x:c r="E46" s="11" t="str">
        <x:v>May</x:v>
      </x:c>
      <x:c r="F46" s="11" t="str">
        <x:v>Class D</x:v>
      </x:c>
      <x:c r="G46" s="11" t="str">
        <x:v>U.S. multi-peril</x:v>
      </x:c>
      <x:c r="H46" s="11" t="str">
        <x:v>Indemnity</x:v>
      </x:c>
      <x:c r="I46" s="11" t="str">
        <x:v>Annual aggregate</x:v>
      </x:c>
      <x:c r="J46" s="16" t="n">
        <x:v>75</x:v>
      </x:c>
      <x:c r="K46" s="18" t="n">
        <x:v>4.8</x:v>
      </x:c>
      <x:c r="L46" s="18" t="n">
        <x:v>10.5</x:v>
      </x:c>
      <x:c r="M46" s="11" t="str">
        <x:v>Final spread</x:v>
      </x:c>
      <x:c r="N46" s="11" t="str">
        <x:v>https://www.artemis.bm/deal-directory/caelus-re-v-ltd-series-2018-1/</x:v>
      </x:c>
      <x:c r="O46" s="11" t="str">
        <x:v>Checked against Artemis page/text</x:v>
      </x:c>
      <x:c r="P46" s="11" t="str">
        <x:v>Final pricing stated by Artemis.</x:v>
      </x:c>
      <x:c r="Q46" s="11" t="str">
        <x:v>Yes</x:v>
      </x:c>
      <x:c r="R46" s="20" t="n">
        <x:f>IFERROR(L46/K46,"")</x:f>
        <x:v>2.1875</x:v>
      </x:c>
    </x:row>
    <x:row r="47">
      <x:c r="A47" s="11" t="str">
        <x:v>Kizuna Re II Ltd. (Series 2018-1)</x:v>
      </x:c>
      <x:c r="B47" s="11" t="str">
        <x:v>Kizuna Re II Ltd.</x:v>
      </x:c>
      <x:c r="C47" s="11" t="str">
        <x:v>Tokio Marine &amp; Nichido Fire Insurance Co. Ltd.</x:v>
      </x:c>
      <x:c r="D47" s="14" t="n">
        <x:v>2018</x:v>
      </x:c>
      <x:c r="E47" s="11" t="str">
        <x:v>Mar</x:v>
      </x:c>
      <x:c r="F47" s="11" t="str">
        <x:v>Class A</x:v>
      </x:c>
      <x:c r="G47" s="11" t="str">
        <x:v>Japan earthquake</x:v>
      </x:c>
      <x:c r="H47" s="11" t="str">
        <x:v>Indemnity</x:v>
      </x:c>
      <x:c r="I47" s="11" t="str">
        <x:v>Aggregate</x:v>
      </x:c>
      <x:c r="J47" s="16" t="n">
        <x:v>150</x:v>
      </x:c>
      <x:c r="K47" s="18" t="n">
        <x:v>0.12</x:v>
      </x:c>
      <x:c r="L47" s="18" t="n">
        <x:v>1.875</x:v>
      </x:c>
      <x:c r="M47" s="11" t="str">
        <x:v>Final spread</x:v>
      </x:c>
      <x:c r="N47" s="11" t="str">
        <x:v>https://www.artemis.bm/deal-directory/kizuna-re-ii-ltd-series-2018-1/</x:v>
      </x:c>
      <x:c r="O47" s="11" t="str">
        <x:v>Checked against Artemis page/text</x:v>
      </x:c>
      <x:c r="P47" s="11" t="str">
        <x:v>Annualised EL used; Artemis also gives 3-year EL 0.35%.</x:v>
      </x:c>
      <x:c r="Q47" s="11" t="str">
        <x:v>Yes</x:v>
      </x:c>
      <x:c r="R47" s="20" t="n">
        <x:f>IFERROR(L47/K47,"")</x:f>
        <x:v>15.625</x:v>
      </x:c>
    </x:row>
    <x:row r="48">
      <x:c r="A48" s="11" t="str">
        <x:v>Kizuna Re II Ltd. (Series 2018-1)</x:v>
      </x:c>
      <x:c r="B48" s="11" t="str">
        <x:v>Kizuna Re II Ltd.</x:v>
      </x:c>
      <x:c r="C48" s="11" t="str">
        <x:v>Tokio Marine &amp; Nichido Fire Insurance Co. Ltd.</x:v>
      </x:c>
      <x:c r="D48" s="14" t="n">
        <x:v>2018</x:v>
      </x:c>
      <x:c r="E48" s="11" t="str">
        <x:v>Mar</x:v>
      </x:c>
      <x:c r="F48" s="11" t="str">
        <x:v>Class B</x:v>
      </x:c>
      <x:c r="G48" s="11" t="str">
        <x:v>Japan earthquake</x:v>
      </x:c>
      <x:c r="H48" s="11" t="str">
        <x:v>Indemnity</x:v>
      </x:c>
      <x:c r="I48" s="11" t="str">
        <x:v>Aggregate</x:v>
      </x:c>
      <x:c r="J48" s="16" t="n">
        <x:v>50</x:v>
      </x:c>
      <x:c r="K48" s="18" t="n">
        <x:v>0.99</x:v>
      </x:c>
      <x:c r="L48" s="18" t="n">
        <x:v>2.5</x:v>
      </x:c>
      <x:c r="M48" s="11" t="str">
        <x:v>Final spread</x:v>
      </x:c>
      <x:c r="N48" s="11" t="str">
        <x:v>https://www.artemis.bm/deal-directory/kizuna-re-ii-ltd-series-2018-1/</x:v>
      </x:c>
      <x:c r="O48" s="11" t="str">
        <x:v>Checked against Artemis page/text</x:v>
      </x:c>
      <x:c r="P48" s="11" t="str">
        <x:v>Annualised EL used; Artemis also gives 3-year EL 2.98%.</x:v>
      </x:c>
      <x:c r="Q48" s="11" t="str">
        <x:v>Yes</x:v>
      </x:c>
      <x:c r="R48" s="20" t="n">
        <x:f>IFERROR(L48/K48,"")</x:f>
        <x:v>2.525252525252525</x:v>
      </x:c>
    </x:row>
    <x:row r="49">
      <x:c r="A49" s="11" t="str">
        <x:v>Long Point Re III Ltd. (Series 2018-1)</x:v>
      </x:c>
      <x:c r="B49" s="11" t="str">
        <x:v>Long Point Re III Ltd.</x:v>
      </x:c>
      <x:c r="C49" s="11" t="str">
        <x:v>Travelers</x:v>
      </x:c>
      <x:c r="D49" s="14" t="n">
        <x:v>2018</x:v>
      </x:c>
      <x:c r="E49" s="11" t="str">
        <x:v>May</x:v>
      </x:c>
      <x:c r="F49" s="11" t="str">
        <x:v>Class A</x:v>
      </x:c>
      <x:c r="G49" s="11" t="str">
        <x:v>U.S. tropical cyclone, earthquake, severe thunderstorm, winter storm</x:v>
      </x:c>
      <x:c r="H49" s="11" t="str">
        <x:v>Indemnity</x:v>
      </x:c>
      <x:c r="I49" s="11" t="str">
        <x:v>Per-occurrence</x:v>
      </x:c>
      <x:c r="J49" s="16" t="n">
        <x:v>500</x:v>
      </x:c>
      <x:c r="K49" s="18" t="n">
        <x:v>1.214</x:v>
      </x:c>
      <x:c r="L49" s="18" t="n">
        <x:v>2.875</x:v>
      </x:c>
      <x:c r="M49" s="11" t="str">
        <x:v>Reduced guidance midpoint</x:v>
      </x:c>
      <x:c r="N49" s="11" t="str">
        <x:v>https://www.artemis.bm/deal-directory/long-point-re-iii-ltd-series-2018-1/</x:v>
      </x:c>
      <x:c r="O49" s="11" t="str">
        <x:v>Checked against Artemis page/text</x:v>
      </x:c>
      <x:c r="P49" s="11" t="str">
        <x:v>Midpoint of reduced Artemis guidance 2.75%-3.0%.</x:v>
      </x:c>
      <x:c r="Q49" s="11" t="str">
        <x:v>Yes</x:v>
      </x:c>
      <x:c r="R49" s="20" t="n">
        <x:f>IFERROR(L49/K49,"")</x:f>
        <x:v>2.368204283360791</x:v>
      </x:c>
    </x:row>
    <x:row r="50">
      <x:c r="A50" s="11" t="str">
        <x:v>Alamo Re Ltd. (Series 2019-1)</x:v>
      </x:c>
      <x:c r="B50" s="11" t="str">
        <x:v>Alamo Re Ltd.</x:v>
      </x:c>
      <x:c r="C50" s="11" t="str">
        <x:v>Texas Windstorm Insurance Association (TWIA)</x:v>
      </x:c>
      <x:c r="D50" s="14" t="n">
        <x:v>2019</x:v>
      </x:c>
      <x:c r="E50" s="11" t="str">
        <x:v>May</x:v>
      </x:c>
      <x:c r="F50" s="11" t="str">
        <x:v>Class A</x:v>
      </x:c>
      <x:c r="G50" s="11" t="str">
        <x:v>Texas named storms and severe thunderstorms</x:v>
      </x:c>
      <x:c r="H50" s="11" t="str">
        <x:v>Indemnity</x:v>
      </x:c>
      <x:c r="I50" s="11" t="str">
        <x:v>Annual aggregate</x:v>
      </x:c>
      <x:c r="J50" s="16" t="n">
        <x:v>200</x:v>
      </x:c>
      <x:c r="K50" s="18" t="n">
        <x:v>1.8</x:v>
      </x:c>
      <x:c r="L50" s="18" t="n">
        <x:v>4.5</x:v>
      </x:c>
      <x:c r="M50" s="11" t="str">
        <x:v>Final spread</x:v>
      </x:c>
      <x:c r="N50" s="11" t="str">
        <x:v>https://www.artemis.bm/deal-directory/alamo-re-ltd-series-2019-1/</x:v>
      </x:c>
      <x:c r="O50" s="11" t="str">
        <x:v>Checked against Artemis page/text</x:v>
      </x:c>
      <x:c r="P50" s="11" t="str">
        <x:v>Final pricing at midpoint stated by Artemis.</x:v>
      </x:c>
      <x:c r="Q50" s="11" t="str">
        <x:v>Yes</x:v>
      </x:c>
      <x:c r="R50" s="20" t="n">
        <x:f>IFERROR(L50/K50,"")</x:f>
        <x:v>2.5</x:v>
      </x:c>
    </x:row>
    <x:row r="51">
      <x:c r="A51" s="11" t="str">
        <x:v>FloodSmart Re Ltd. (Series 2019-1)</x:v>
      </x:c>
      <x:c r="B51" s="11" t="str">
        <x:v>FloodSmart Re Ltd.</x:v>
      </x:c>
      <x:c r="C51" s="11" t="str">
        <x:v>FEMA / NFIP via Hannover Re</x:v>
      </x:c>
      <x:c r="D51" s="14" t="n">
        <x:v>2019</x:v>
      </x:c>
      <x:c r="E51" s="11" t="str">
        <x:v>Apr</x:v>
      </x:c>
      <x:c r="F51" s="11" t="str">
        <x:v>Class A</x:v>
      </x:c>
      <x:c r="G51" s="11" t="str">
        <x:v>U.S. flood risk from named storms</x:v>
      </x:c>
      <x:c r="H51" s="11" t="str">
        <x:v>Indemnity</x:v>
      </x:c>
      <x:c r="I51" s="11" t="str">
        <x:v>Per-occurrence</x:v>
      </x:c>
      <x:c r="J51" s="16" t="n">
        <x:v>250</x:v>
      </x:c>
      <x:c r="K51" s="18" t="n">
        <x:v>4.15</x:v>
      </x:c>
      <x:c r="L51" s="18" t="n">
        <x:v>11.25</x:v>
      </x:c>
      <x:c r="M51" s="11" t="str">
        <x:v>Final spread</x:v>
      </x:c>
      <x:c r="N51" s="11" t="str">
        <x:v>https://www.artemis.bm/deal-directory/floodsmart-re-ltd-series-2019-1/</x:v>
      </x:c>
      <x:c r="O51" s="11" t="str">
        <x:v>Checked against Artemis page/text</x:v>
      </x:c>
      <x:c r="P51" s="11" t="str">
        <x:v>Final pricing stated by Artemis.</x:v>
      </x:c>
      <x:c r="Q51" s="11" t="str">
        <x:v>Yes</x:v>
      </x:c>
      <x:c r="R51" s="20" t="n">
        <x:f>IFERROR(L51/K51,"")</x:f>
        <x:v>2.710843373493976</x:v>
      </x:c>
    </x:row>
    <x:row r="52">
      <x:c r="A52" s="11" t="str">
        <x:v>FloodSmart Re Ltd. (Series 2019-1)</x:v>
      </x:c>
      <x:c r="B52" s="11" t="str">
        <x:v>FloodSmart Re Ltd.</x:v>
      </x:c>
      <x:c r="C52" s="11" t="str">
        <x:v>FEMA / NFIP via Hannover Re</x:v>
      </x:c>
      <x:c r="D52" s="14" t="n">
        <x:v>2019</x:v>
      </x:c>
      <x:c r="E52" s="11" t="str">
        <x:v>Apr</x:v>
      </x:c>
      <x:c r="F52" s="11" t="str">
        <x:v>Class B</x:v>
      </x:c>
      <x:c r="G52" s="11" t="str">
        <x:v>U.S. flood risk from named storms</x:v>
      </x:c>
      <x:c r="H52" s="11" t="str">
        <x:v>Indemnity</x:v>
      </x:c>
      <x:c r="I52" s="11" t="str">
        <x:v>Per-occurrence</x:v>
      </x:c>
      <x:c r="J52" s="16" t="n">
        <x:v>50</x:v>
      </x:c>
      <x:c r="K52" s="18" t="n">
        <x:v>6.01</x:v>
      </x:c>
      <x:c r="L52" s="18" t="n">
        <x:v>14.5</x:v>
      </x:c>
      <x:c r="M52" s="11" t="str">
        <x:v>Final spread</x:v>
      </x:c>
      <x:c r="N52" s="11" t="str">
        <x:v>https://www.artemis.bm/deal-directory/floodsmart-re-ltd-series-2019-1/</x:v>
      </x:c>
      <x:c r="O52" s="11" t="str">
        <x:v>Checked against Artemis page/text</x:v>
      </x:c>
      <x:c r="P52" s="11" t="str">
        <x:v>Final pricing stated by Artemis.</x:v>
      </x:c>
      <x:c r="Q52" s="11" t="str">
        <x:v>Yes</x:v>
      </x:c>
      <x:c r="R52" s="20" t="n">
        <x:f>IFERROR(L52/K52,"")</x:f>
        <x:v>2.4126455906821964</x:v>
      </x:c>
    </x:row>
    <x:row r="53">
      <x:c r="A53" s="11" t="str">
        <x:v>Alamo Re II Pte. Ltd. (Series 2020-1)</x:v>
      </x:c>
      <x:c r="B53" s="11" t="str">
        <x:v>Alamo Re II Pte. Ltd.</x:v>
      </x:c>
      <x:c r="C53" s="11" t="str">
        <x:v>Texas Windstorm Insurance Association (TWIA)</x:v>
      </x:c>
      <x:c r="D53" s="14" t="n">
        <x:v>2020</x:v>
      </x:c>
      <x:c r="E53" s="11" t="str">
        <x:v>Jun</x:v>
      </x:c>
      <x:c r="F53" s="11" t="str">
        <x:v>Class A</x:v>
      </x:c>
      <x:c r="G53" s="11" t="str">
        <x:v>Texas named storms and severe thunderstorms</x:v>
      </x:c>
      <x:c r="H53" s="11" t="str">
        <x:v>Indemnity</x:v>
      </x:c>
      <x:c r="I53" s="11" t="str">
        <x:v>Annual aggregate</x:v>
      </x:c>
      <x:c r="J53" s="16" t="n">
        <x:v>400</x:v>
      </x:c>
      <x:c r="K53" s="18" t="n">
        <x:v>1.78</x:v>
      </x:c>
      <x:c r="L53" s="18" t="n">
        <x:v>5.75</x:v>
      </x:c>
      <x:c r="M53" s="11" t="str">
        <x:v>Final spread</x:v>
      </x:c>
      <x:c r="N53" s="11" t="str">
        <x:v>https://www.artemis.bm/deal-directory/alamo-re-ii-pte-ltd-series-2020-1/</x:v>
      </x:c>
      <x:c r="O53" s="11" t="str">
        <x:v>Checked against Artemis page/text</x:v>
      </x:c>
      <x:c r="P53" s="11" t="str">
        <x:v>Final pricing stated by Artemis.</x:v>
      </x:c>
      <x:c r="Q53" s="11" t="str">
        <x:v>Yes</x:v>
      </x:c>
      <x:c r="R53" s="20" t="n">
        <x:f>IFERROR(L53/K53,"")</x:f>
        <x:v>3.230337078651685</x:v>
      </x:c>
    </x:row>
    <x:row r="54">
      <x:c r="A54" s="11" t="str">
        <x:v>FloodSmart Re Ltd. (Series 2020-1)</x:v>
      </x:c>
      <x:c r="B54" s="11" t="str">
        <x:v>FloodSmart Re Ltd.</x:v>
      </x:c>
      <x:c r="C54" s="11" t="str">
        <x:v>FEMA / NFIP via Hannover Re</x:v>
      </x:c>
      <x:c r="D54" s="14" t="n">
        <x:v>2020</x:v>
      </x:c>
      <x:c r="E54" s="11" t="str">
        <x:v>Feb</x:v>
      </x:c>
      <x:c r="F54" s="11" t="str">
        <x:v>Class A</x:v>
      </x:c>
      <x:c r="G54" s="11" t="str">
        <x:v>U.S. flood risk from named storms</x:v>
      </x:c>
      <x:c r="H54" s="11" t="str">
        <x:v>Indemnity</x:v>
      </x:c>
      <x:c r="I54" s="11" t="str">
        <x:v>Per-occurrence</x:v>
      </x:c>
      <x:c r="J54" s="16" t="n">
        <x:v>300</x:v>
      </x:c>
      <x:c r="K54" s="18" t="n">
        <x:v>3.91</x:v>
      </x:c>
      <x:c r="L54" s="18" t="n">
        <x:v>11</x:v>
      </x:c>
      <x:c r="M54" s="11" t="str">
        <x:v>Final spread</x:v>
      </x:c>
      <x:c r="N54" s="11" t="str">
        <x:v>https://www.artemis.bm/deal-directory/floodsmart-re-ltd-series-2020-1/</x:v>
      </x:c>
      <x:c r="O54" s="11" t="str">
        <x:v>Checked against Artemis page/text</x:v>
      </x:c>
      <x:c r="P54" s="11" t="str">
        <x:v>Final pricing stated by Artemis.</x:v>
      </x:c>
      <x:c r="Q54" s="11" t="str">
        <x:v>Yes</x:v>
      </x:c>
      <x:c r="R54" s="20" t="n">
        <x:f>IFERROR(L54/K54,"")</x:f>
        <x:v>2.813299232736573</x:v>
      </x:c>
    </x:row>
    <x:row r="55">
      <x:c r="A55" s="11" t="str">
        <x:v>FloodSmart Re Ltd. (Series 2020-1)</x:v>
      </x:c>
      <x:c r="B55" s="11" t="str">
        <x:v>FloodSmart Re Ltd.</x:v>
      </x:c>
      <x:c r="C55" s="11" t="str">
        <x:v>FEMA / NFIP via Hannover Re</x:v>
      </x:c>
      <x:c r="D55" s="14" t="n">
        <x:v>2020</x:v>
      </x:c>
      <x:c r="E55" s="11" t="str">
        <x:v>Feb</x:v>
      </x:c>
      <x:c r="F55" s="11" t="str">
        <x:v>Class B</x:v>
      </x:c>
      <x:c r="G55" s="11" t="str">
        <x:v>U.S. flood risk from named storms</x:v>
      </x:c>
      <x:c r="H55" s="11" t="str">
        <x:v>Indemnity</x:v>
      </x:c>
      <x:c r="I55" s="11" t="str">
        <x:v>Per-occurrence</x:v>
      </x:c>
      <x:c r="J55" s="16" t="n">
        <x:v>100</x:v>
      </x:c>
      <x:c r="K55" s="18" t="n">
        <x:v>5.68</x:v>
      </x:c>
      <x:c r="L55" s="18" t="n">
        <x:v>14.5</x:v>
      </x:c>
      <x:c r="M55" s="11" t="str">
        <x:v>Final spread</x:v>
      </x:c>
      <x:c r="N55" s="11" t="str">
        <x:v>https://www.artemis.bm/deal-directory/floodsmart-re-ltd-series-2020-1/</x:v>
      </x:c>
      <x:c r="O55" s="11" t="str">
        <x:v>Checked against Artemis page/text</x:v>
      </x:c>
      <x:c r="P55" s="11" t="str">
        <x:v>Final pricing stated by Artemis.</x:v>
      </x:c>
      <x:c r="Q55" s="11" t="str">
        <x:v>Yes</x:v>
      </x:c>
      <x:c r="R55" s="20" t="n">
        <x:f>IFERROR(L55/K55,"")</x:f>
        <x:v>2.552816901408451</x:v>
      </x:c>
    </x:row>
    <x:row r="56">
      <x:c r="A56" s="11" t="str">
        <x:v>Hypatia Ltd. (Series 2020-1)</x:v>
      </x:c>
      <x:c r="B56" s="11" t="str">
        <x:v>Hypatia Ltd.</x:v>
      </x:c>
      <x:c r="C56" s="11" t="str">
        <x:v>Convex Re</x:v>
      </x:c>
      <x:c r="D56" s="14" t="n">
        <x:v>2020</x:v>
      </x:c>
      <x:c r="E56" s="11" t="str">
        <x:v>Jul</x:v>
      </x:c>
      <x:c r="F56" s="11" t="str">
        <x:v>Class A</x:v>
      </x:c>
      <x:c r="G56" s="11" t="str">
        <x:v>U.S. named storm, U.S. &amp; Canada earthquake</x:v>
      </x:c>
      <x:c r="H56" s="11" t="str">
        <x:v>Industry loss index</x:v>
      </x:c>
      <x:c r="I56" s="11" t="str">
        <x:v>Annual aggregate</x:v>
      </x:c>
      <x:c r="J56" s="16" t="n">
        <x:v>150</x:v>
      </x:c>
      <x:c r="K56" s="18" t="n">
        <x:v>1.71</x:v>
      </x:c>
      <x:c r="L56" s="18" t="n">
        <x:v>6.75</x:v>
      </x:c>
      <x:c r="M56" s="11" t="str">
        <x:v>Final spread</x:v>
      </x:c>
      <x:c r="N56" s="11" t="str">
        <x:v>https://www.artemis.bm/deal-directory/hypatia-ltd-series-2020-1/</x:v>
      </x:c>
      <x:c r="O56" s="11" t="str">
        <x:v>Checked against Artemis page/text</x:v>
      </x:c>
      <x:c r="P56" s="11" t="str">
        <x:v>Final pricing stated by Artemis.</x:v>
      </x:c>
      <x:c r="Q56" s="11" t="str">
        <x:v>Yes</x:v>
      </x:c>
      <x:c r="R56" s="20" t="n">
        <x:f>IFERROR(L56/K56,"")</x:f>
        <x:v>3.947368421052632</x:v>
      </x:c>
    </x:row>
    <x:row r="57">
      <x:c r="A57" s="11" t="str">
        <x:v>Hypatia Ltd. (Series 2020-1)</x:v>
      </x:c>
      <x:c r="B57" s="11" t="str">
        <x:v>Hypatia Ltd.</x:v>
      </x:c>
      <x:c r="C57" s="11" t="str">
        <x:v>Convex Re</x:v>
      </x:c>
      <x:c r="D57" s="14" t="n">
        <x:v>2020</x:v>
      </x:c>
      <x:c r="E57" s="11" t="str">
        <x:v>Jul</x:v>
      </x:c>
      <x:c r="F57" s="11" t="str">
        <x:v>Class B</x:v>
      </x:c>
      <x:c r="G57" s="11" t="str">
        <x:v>U.S. named storm, U.S. &amp; Canada earthquake</x:v>
      </x:c>
      <x:c r="H57" s="11" t="str">
        <x:v>Industry loss index</x:v>
      </x:c>
      <x:c r="I57" s="11" t="str">
        <x:v>Annual aggregate</x:v>
      </x:c>
      <x:c r="J57" s="16" t="n">
        <x:v>150</x:v>
      </x:c>
      <x:c r="K57" s="18" t="n">
        <x:v>3.06</x:v>
      </x:c>
      <x:c r="L57" s="18" t="n">
        <x:v>9.75</x:v>
      </x:c>
      <x:c r="M57" s="11" t="str">
        <x:v>Final spread</x:v>
      </x:c>
      <x:c r="N57" s="11" t="str">
        <x:v>https://www.artemis.bm/deal-directory/hypatia-ltd-series-2020-1/</x:v>
      </x:c>
      <x:c r="O57" s="11" t="str">
        <x:v>Checked against Artemis page/text</x:v>
      </x:c>
      <x:c r="P57" s="11" t="str">
        <x:v>Final pricing stated by Artemis.</x:v>
      </x:c>
      <x:c r="Q57" s="11" t="str">
        <x:v>Yes</x:v>
      </x:c>
      <x:c r="R57" s="20" t="n">
        <x:f>IFERROR(L57/K57,"")</x:f>
        <x:v>3.1862745098039214</x:v>
      </x:c>
    </x:row>
    <x:row r="58">
      <x:c r="A58" s="11" t="str">
        <x:v>Stratosphere Re Ltd. (Series 2020-1)</x:v>
      </x:c>
      <x:c r="B58" s="11" t="str">
        <x:v>Stratosphere Re Ltd.</x:v>
      </x:c>
      <x:c r="C58" s="11" t="str">
        <x:v>Markel Bermuda / State National tail risk</x:v>
      </x:c>
      <x:c r="D58" s="14" t="n">
        <x:v>2020</x:v>
      </x:c>
      <x:c r="E58" s="11" t="str">
        <x:v>Jan</x:v>
      </x:c>
      <x:c r="F58" s="11" t="str">
        <x:v>Class A</x:v>
      </x:c>
      <x:c r="G58" s="11" t="str">
        <x:v>U.S. named storm, earthquake, winter storm, severe thunderstorm</x:v>
      </x:c>
      <x:c r="H58" s="11" t="str">
        <x:v>Indemnity</x:v>
      </x:c>
      <x:c r="I58" s="11" t="str">
        <x:v>Annual aggregate</x:v>
      </x:c>
      <x:c r="J58" s="16" t="n">
        <x:v>100</x:v>
      </x:c>
      <x:c r="K58" s="18" t="n">
        <x:v>0.115</x:v>
      </x:c>
      <x:c r="L58" s="18" t="n">
        <x:v>2.75</x:v>
      </x:c>
      <x:c r="M58" s="11" t="str">
        <x:v>Final spread</x:v>
      </x:c>
      <x:c r="N58" s="11" t="str">
        <x:v>https://www.artemis.bm/deal-directory/stratosphere-re-ltd-series-2020-1/</x:v>
      </x:c>
      <x:c r="O58" s="11" t="str">
        <x:v>Checked against Artemis page/text</x:v>
      </x:c>
      <x:c r="P58" s="11" t="str">
        <x:v>Final pricing stated by Artemis.</x:v>
      </x:c>
      <x:c r="Q58" s="11" t="str">
        <x:v>Yes</x:v>
      </x:c>
      <x:c r="R58" s="20" t="n">
        <x:f>IFERROR(L58/K58,"")</x:f>
        <x:v>23.913043478260867</x:v>
      </x:c>
    </x:row>
    <x:row r="59">
      <x:c r="A59" s="11" t="str">
        <x:v>FloodSmart Re Ltd. (Series 2021-1)</x:v>
      </x:c>
      <x:c r="B59" s="11" t="str">
        <x:v>FloodSmart Re Ltd.</x:v>
      </x:c>
      <x:c r="C59" s="11" t="str">
        <x:v>FEMA / NFIP via Hannover Re</x:v>
      </x:c>
      <x:c r="D59" s="14" t="n">
        <x:v>2021</x:v>
      </x:c>
      <x:c r="E59" s="11" t="str">
        <x:v>Feb</x:v>
      </x:c>
      <x:c r="F59" s="11" t="str">
        <x:v>Class A</x:v>
      </x:c>
      <x:c r="G59" s="11" t="str">
        <x:v>U.S. flood</x:v>
      </x:c>
      <x:c r="H59" s="11" t="str">
        <x:v>Indemnity</x:v>
      </x:c>
      <x:c r="I59" s="11" t="str">
        <x:v>Occurrence</x:v>
      </x:c>
      <x:c r="J59" s="16"/>
      <x:c r="K59" s="18" t="n">
        <x:v>5.47</x:v>
      </x:c>
      <x:c r="L59" s="18" t="n">
        <x:v>13</x:v>
      </x:c>
      <x:c r="M59" s="11" t="str">
        <x:v>Final spread from Artemis comparison text</x:v>
      </x:c>
      <x:c r="N59" s="11" t="str">
        <x:v>https://www.artemis.bm/deal-directory/floodsmart-re-ltd-series-2023-1/</x:v>
      </x:c>
      <x:c r="O59" s="11" t="str">
        <x:v>Checked against Artemis page/search extract</x:v>
      </x:c>
      <x:c r="P59" s="11"/>
      <x:c r="Q59" s="11" t="str">
        <x:v>Yes</x:v>
      </x:c>
      <x:c r="R59" s="20" t="n">
        <x:f>IFERROR(L59/K59,"")</x:f>
        <x:v>2.376599634369287</x:v>
      </x:c>
    </x:row>
    <x:row r="60">
      <x:c r="A60" s="11" t="str">
        <x:v>Residential Reinsurance 2021 Limited (Series 2021-1)</x:v>
      </x:c>
      <x:c r="B60" s="11" t="str">
        <x:v>Residential Reinsurance 2021 Limited</x:v>
      </x:c>
      <x:c r="C60" s="11" t="str">
        <x:v>USAA</x:v>
      </x:c>
      <x:c r="D60" s="14" t="n">
        <x:v>2021</x:v>
      </x:c>
      <x:c r="E60" s="11" t="str">
        <x:v>May</x:v>
      </x:c>
      <x:c r="F60" s="11" t="str">
        <x:v>Class 11</x:v>
      </x:c>
      <x:c r="G60" s="11" t="str">
        <x:v>U.S. multi-peril</x:v>
      </x:c>
      <x:c r="H60" s="11" t="str">
        <x:v>Indemnity</x:v>
      </x:c>
      <x:c r="I60" s="11" t="str">
        <x:v>Occurrence</x:v>
      </x:c>
      <x:c r="J60" s="16"/>
      <x:c r="K60" s="18" t="n">
        <x:v>4.32</x:v>
      </x:c>
      <x:c r="L60" s="18" t="n">
        <x:v>9.25</x:v>
      </x:c>
      <x:c r="M60" s="11" t="str">
        <x:v>Final spread</x:v>
      </x:c>
      <x:c r="N60" s="11" t="str">
        <x:v>https://www.artemis.bm/deal-directory/residential-reinsurance-2021-limited-series-2021-1/</x:v>
      </x:c>
      <x:c r="O60" s="11" t="str">
        <x:v>Checked against Artemis page/search extract</x:v>
      </x:c>
      <x:c r="P60" s="11"/>
      <x:c r="Q60" s="11" t="str">
        <x:v>Yes</x:v>
      </x:c>
      <x:c r="R60" s="20" t="n">
        <x:f>IFERROR(L60/K60,"")</x:f>
        <x:v>2.1412037037037037</x:v>
      </x:c>
    </x:row>
    <x:row r="61">
      <x:c r="A61" s="11" t="str">
        <x:v>Residential Reinsurance 2021 Limited (Series 2021-1)</x:v>
      </x:c>
      <x:c r="B61" s="11" t="str">
        <x:v>Residential Reinsurance 2021 Limited</x:v>
      </x:c>
      <x:c r="C61" s="11" t="str">
        <x:v>USAA</x:v>
      </x:c>
      <x:c r="D61" s="14" t="n">
        <x:v>2021</x:v>
      </x:c>
      <x:c r="E61" s="11" t="str">
        <x:v>May</x:v>
      </x:c>
      <x:c r="F61" s="11" t="str">
        <x:v>Class 12</x:v>
      </x:c>
      <x:c r="G61" s="11" t="str">
        <x:v>U.S. multi-peril</x:v>
      </x:c>
      <x:c r="H61" s="11" t="str">
        <x:v>Indemnity</x:v>
      </x:c>
      <x:c r="I61" s="11" t="str">
        <x:v>Occurrence</x:v>
      </x:c>
      <x:c r="J61" s="16"/>
      <x:c r="K61" s="18"/>
      <x:c r="L61" s="18" t="n">
        <x:v>5.25</x:v>
      </x:c>
      <x:c r="M61" s="11" t="str">
        <x:v>Final spread</x:v>
      </x:c>
      <x:c r="N61" s="11" t="str">
        <x:v>https://www.artemis.bm/deal-directory/residential-reinsurance-2021-limited-series-2021-1/</x:v>
      </x:c>
      <x:c r="O61" s="11" t="str">
        <x:v>Checked against Artemis page/search extract</x:v>
      </x:c>
      <x:c r="P61" s="11" t="str">
        <x:v>Class 12 EL not visible in captured extract.</x:v>
      </x:c>
      <x:c r="Q61" s="11" t="str">
        <x:v>No</x:v>
      </x:c>
      <x:c r="R61" s="20" t="str">
        <x:f>IFERROR(L61/K61,"")</x:f>
      </x:c>
    </x:row>
    <x:row r="62">
      <x:c r="A62" s="11" t="str">
        <x:v>Black Kite Re Limited (Series 2022-1)</x:v>
      </x:c>
      <x:c r="B62" s="11" t="str">
        <x:v>Black Kite Re Limited</x:v>
      </x:c>
      <x:c r="C62" s="11" t="str">
        <x:v>Peak Reinsurance Company</x:v>
      </x:c>
      <x:c r="D62" s="14" t="n">
        <x:v>2022</x:v>
      </x:c>
      <x:c r="E62" s="11" t="str">
        <x:v>Jun</x:v>
      </x:c>
      <x:c r="F62" s="11" t="str">
        <x:v>Class A</x:v>
      </x:c>
      <x:c r="G62" s="11" t="str">
        <x:v>Asia-Pacific catastrophe risks</x:v>
      </x:c>
      <x:c r="H62" s="11" t="str">
        <x:v>Parametric/Index</x:v>
      </x:c>
      <x:c r="I62" s="11" t="str">
        <x:v>Occurrence</x:v>
      </x:c>
      <x:c r="J62" s="16" t="n">
        <x:v>150</x:v>
      </x:c>
      <x:c r="K62" s="18" t="n">
        <x:v>3.22</x:v>
      </x:c>
      <x:c r="L62" s="18" t="n">
        <x:v>5.5</x:v>
      </x:c>
      <x:c r="M62" s="11" t="str">
        <x:v>Initial guidance midpoint</x:v>
      </x:c>
      <x:c r="N62" s="11" t="str">
        <x:v>https://www.artemis.bm/deal-directory/black-kite-re-limited-series-2022-1/</x:v>
      </x:c>
      <x:c r="O62" s="11" t="str">
        <x:v>Checked against Artemis page/search extract</x:v>
      </x:c>
      <x:c r="P62" s="11"/>
      <x:c r="Q62" s="11" t="str">
        <x:v>Yes</x:v>
      </x:c>
      <x:c r="R62" s="20" t="n">
        <x:f>IFERROR(L62/K62,"")</x:f>
        <x:v>1.7080745341614907</x:v>
      </x:c>
    </x:row>
    <x:row r="63">
      <x:c r="A63" s="11" t="str">
        <x:v>FloodSmart Re Ltd. (Series 2022-1)</x:v>
      </x:c>
      <x:c r="B63" s="11" t="str">
        <x:v>FloodSmart Re Ltd.</x:v>
      </x:c>
      <x:c r="C63" s="11" t="str">
        <x:v>FEMA / NFIP via Hannover Re</x:v>
      </x:c>
      <x:c r="D63" s="14" t="n">
        <x:v>2022</x:v>
      </x:c>
      <x:c r="E63" s="11" t="str">
        <x:v>Feb</x:v>
      </x:c>
      <x:c r="F63" s="11" t="str">
        <x:v>Class B</x:v>
      </x:c>
      <x:c r="G63" s="11" t="str">
        <x:v>U.S. flood</x:v>
      </x:c>
      <x:c r="H63" s="11" t="str">
        <x:v>Indemnity</x:v>
      </x:c>
      <x:c r="I63" s="11" t="str">
        <x:v>Occurrence</x:v>
      </x:c>
      <x:c r="J63" s="16"/>
      <x:c r="K63" s="18" t="n">
        <x:v>5.48</x:v>
      </x:c>
      <x:c r="L63" s="18" t="n">
        <x:v>13.75</x:v>
      </x:c>
      <x:c r="M63" s="11" t="str">
        <x:v>Final spread from Artemis comparison text</x:v>
      </x:c>
      <x:c r="N63" s="11" t="str">
        <x:v>https://www.artemis.bm/deal-directory/floodsmart-re-ltd-series-2023-1/</x:v>
      </x:c>
      <x:c r="O63" s="11" t="str">
        <x:v>Checked against Artemis page/search extract</x:v>
      </x:c>
      <x:c r="P63" s="11"/>
      <x:c r="Q63" s="11" t="str">
        <x:v>Yes</x:v>
      </x:c>
      <x:c r="R63" s="20" t="n">
        <x:f>IFERROR(L63/K63,"")</x:f>
        <x:v>2.509124087591241</x:v>
      </x:c>
    </x:row>
    <x:row r="64">
      <x:c r="A64" s="11" t="str">
        <x:v>Northshore Re II Ltd. (Series 2022-1)</x:v>
      </x:c>
      <x:c r="B64" s="11" t="str">
        <x:v>Northshore Re II Ltd.</x:v>
      </x:c>
      <x:c r="C64" s="11" t="str">
        <x:v>AXIS Capital</x:v>
      </x:c>
      <x:c r="D64" s="14" t="n">
        <x:v>2022</x:v>
      </x:c>
      <x:c r="E64" s="11" t="str">
        <x:v>Jul</x:v>
      </x:c>
      <x:c r="F64" s="11" t="str">
        <x:v>Class A</x:v>
      </x:c>
      <x:c r="G64" s="11" t="str">
        <x:v>Peak peril catastrophe retro</x:v>
      </x:c>
      <x:c r="H64" s="11" t="str">
        <x:v>Industry loss index</x:v>
      </x:c>
      <x:c r="I64" s="11" t="str">
        <x:v>Annual aggregate</x:v>
      </x:c>
      <x:c r="J64" s="16" t="n">
        <x:v>140</x:v>
      </x:c>
      <x:c r="K64" s="18" t="n">
        <x:v>2.02</x:v>
      </x:c>
      <x:c r="L64" s="18" t="n">
        <x:v>8</x:v>
      </x:c>
      <x:c r="M64" s="11" t="str">
        <x:v>Final coupon/spread</x:v>
      </x:c>
      <x:c r="N64" s="11" t="str">
        <x:v>https://www.artemis.bm/deal-directory/northshore-re-ii-ltd-series-2022-1/</x:v>
      </x:c>
      <x:c r="O64" s="11" t="str">
        <x:v>Checked against Artemis page/search extract</x:v>
      </x:c>
      <x:c r="P64" s="11"/>
      <x:c r="Q64" s="11" t="str">
        <x:v>Yes</x:v>
      </x:c>
      <x:c r="R64" s="20" t="n">
        <x:f>IFERROR(L64/K64,"")</x:f>
        <x:v>3.9603960396039604</x:v>
      </x:c>
    </x:row>
    <x:row r="65">
      <x:c r="A65" s="11" t="str">
        <x:v>Yosemite Re Ltd. (Series 2022-1)</x:v>
      </x:c>
      <x:c r="B65" s="11" t="str">
        <x:v>Yosemite Re Ltd.</x:v>
      </x:c>
      <x:c r="C65" s="11" t="str">
        <x:v>Unknown/Artemis source</x:v>
      </x:c>
      <x:c r="D65" s="14" t="n">
        <x:v>2022</x:v>
      </x:c>
      <x:c r="E65" s="11"/>
      <x:c r="F65" s="11" t="str">
        <x:v>Class A</x:v>
      </x:c>
      <x:c r="G65" s="11" t="str">
        <x:v>U.S. property catastrophe risks</x:v>
      </x:c>
      <x:c r="H65" s="11" t="str">
        <x:v>Indemnity</x:v>
      </x:c>
      <x:c r="I65" s="11" t="str">
        <x:v>Occurrence</x:v>
      </x:c>
      <x:c r="J65" s="16" t="n">
        <x:v>75</x:v>
      </x:c>
      <x:c r="K65" s="18" t="n">
        <x:v>1.16</x:v>
      </x:c>
      <x:c r="L65" s="18" t="n">
        <x:v>9.25</x:v>
      </x:c>
      <x:c r="M65" s="11" t="str">
        <x:v>Initial guidance midpoint</x:v>
      </x:c>
      <x:c r="N65" s="11" t="str">
        <x:v>https://www.artemis.bm/deal-directory/yosemite-re-ltd-series-2022-1/</x:v>
      </x:c>
      <x:c r="O65" s="11" t="str">
        <x:v>Checked against Artemis page/search extract</x:v>
      </x:c>
      <x:c r="P65" s="11"/>
      <x:c r="Q65" s="11" t="str">
        <x:v>Yes</x:v>
      </x:c>
      <x:c r="R65" s="20" t="n">
        <x:f>IFERROR(L65/K65,"")</x:f>
        <x:v>7.974137931034483</x:v>
      </x:c>
    </x:row>
    <x:row r="66">
      <x:c r="A66" s="11" t="str">
        <x:v>Acorn Re Ltd. (Series 2023-1)</x:v>
      </x:c>
      <x:c r="B66" s="11" t="str">
        <x:v>Acorn Re Ltd.</x:v>
      </x:c>
      <x:c r="C66" s="11" t="str">
        <x:v>Hannover Rück SE / Oak Tree Assurance</x:v>
      </x:c>
      <x:c r="D66" s="14" t="n">
        <x:v>2023</x:v>
      </x:c>
      <x:c r="E66" s="11" t="str">
        <x:v>Oct</x:v>
      </x:c>
      <x:c r="F66" s="11" t="str">
        <x:v>Class A</x:v>
      </x:c>
      <x:c r="G66" s="11" t="str">
        <x:v>U.S. earthquake</x:v>
      </x:c>
      <x:c r="H66" s="11" t="str">
        <x:v>Parametric</x:v>
      </x:c>
      <x:c r="I66" s="11" t="str">
        <x:v>Occurrence</x:v>
      </x:c>
      <x:c r="J66" s="16" t="n">
        <x:v>100</x:v>
      </x:c>
      <x:c r="K66" s="18" t="n">
        <x:v>0.91</x:v>
      </x:c>
      <x:c r="L66" s="18" t="n">
        <x:v>4.35</x:v>
      </x:c>
      <x:c r="M66" s="11" t="str">
        <x:v>Final spread</x:v>
      </x:c>
      <x:c r="N66" s="11" t="str">
        <x:v>https://www.artemis.bm/deal-directory/acorn-re-ltd-series-2023-1/</x:v>
      </x:c>
      <x:c r="O66" s="11" t="str">
        <x:v>Checked against Artemis page/search extract</x:v>
      </x:c>
      <x:c r="P66" s="11"/>
      <x:c r="Q66" s="11" t="str">
        <x:v>Yes</x:v>
      </x:c>
      <x:c r="R66" s="20" t="n">
        <x:f>IFERROR(L66/K66,"")</x:f>
        <x:v>4.780219780219779</x:v>
      </x:c>
    </x:row>
    <x:row r="67">
      <x:c r="A67" s="11" t="str">
        <x:v>FloodSmart Re Ltd. (Series 2023-1)</x:v>
      </x:c>
      <x:c r="B67" s="11" t="str">
        <x:v>FloodSmart Re Ltd.</x:v>
      </x:c>
      <x:c r="C67" s="11" t="str">
        <x:v>FEMA / NFIP via Hannover Re</x:v>
      </x:c>
      <x:c r="D67" s="14" t="n">
        <x:v>2023</x:v>
      </x:c>
      <x:c r="E67" s="11" t="str">
        <x:v>Mar</x:v>
      </x:c>
      <x:c r="F67" s="11" t="str">
        <x:v>Class A</x:v>
      </x:c>
      <x:c r="G67" s="11" t="str">
        <x:v>U.S. flood</x:v>
      </x:c>
      <x:c r="H67" s="11" t="str">
        <x:v>Indemnity</x:v>
      </x:c>
      <x:c r="I67" s="11" t="str">
        <x:v>Occurrence</x:v>
      </x:c>
      <x:c r="J67" s="16"/>
      <x:c r="K67" s="18" t="n">
        <x:v>5.35</x:v>
      </x:c>
      <x:c r="L67" s="18" t="n">
        <x:v>16.25</x:v>
      </x:c>
      <x:c r="M67" s="11" t="str">
        <x:v>Latest guidance / low end</x:v>
      </x:c>
      <x:c r="N67" s="11" t="str">
        <x:v>https://www.artemis.bm/deal-directory/floodsmart-re-ltd-series-2023-1/</x:v>
      </x:c>
      <x:c r="O67" s="11" t="str">
        <x:v>Checked against Artemis page/search extract</x:v>
      </x:c>
      <x:c r="P67" s="11"/>
      <x:c r="Q67" s="11" t="str">
        <x:v>Yes</x:v>
      </x:c>
      <x:c r="R67" s="20" t="n">
        <x:f>IFERROR(L67/K67,"")</x:f>
        <x:v>3.0373831775700935</x:v>
      </x:c>
    </x:row>
    <x:row r="68">
      <x:c r="A68" s="11" t="str">
        <x:v>Four Lakes Re Ltd. (Series 2023-1)</x:v>
      </x:c>
      <x:c r="B68" s="11" t="str">
        <x:v>Four Lakes Re Ltd.</x:v>
      </x:c>
      <x:c r="C68" s="11" t="str">
        <x:v>American Family Mutual Insurance Co.</x:v>
      </x:c>
      <x:c r="D68" s="14" t="n">
        <x:v>2023</x:v>
      </x:c>
      <x:c r="E68" s="11" t="str">
        <x:v>Dec</x:v>
      </x:c>
      <x:c r="F68" s="11" t="str">
        <x:v>Class A</x:v>
      </x:c>
      <x:c r="G68" s="11" t="str">
        <x:v>U.S. named storm, earthquake, severe thunderstorm, winter storm, wildfire</x:v>
      </x:c>
      <x:c r="H68" s="11" t="str">
        <x:v>Indemnity</x:v>
      </x:c>
      <x:c r="I68" s="11" t="str">
        <x:v>Occurrence</x:v>
      </x:c>
      <x:c r="J68" s="16" t="n">
        <x:v>125</x:v>
      </x:c>
      <x:c r="K68" s="18"/>
      <x:c r="L68" s="18" t="n">
        <x:v>5.75</x:v>
      </x:c>
      <x:c r="M68" s="11" t="str">
        <x:v>Final/updated pricing</x:v>
      </x:c>
      <x:c r="N68" s="11" t="str">
        <x:v>https://www.artemis.bm/deal-directory/four-lakes-re-ltd-series-2023-1/</x:v>
      </x:c>
      <x:c r="O68" s="11" t="str">
        <x:v>Checked against Artemis page/search extract</x:v>
      </x:c>
      <x:c r="P68" s="11" t="str">
        <x:v>A expected loss not visible in captured extract.</x:v>
      </x:c>
      <x:c r="Q68" s="11" t="str">
        <x:v>No</x:v>
      </x:c>
      <x:c r="R68" s="20" t="str">
        <x:f>IFERROR(L68/K68,"")</x:f>
      </x:c>
    </x:row>
    <x:row r="69">
      <x:c r="A69" s="11" t="str">
        <x:v>Four Lakes Re Ltd. (Series 2023-1)</x:v>
      </x:c>
      <x:c r="B69" s="11" t="str">
        <x:v>Four Lakes Re Ltd.</x:v>
      </x:c>
      <x:c r="C69" s="11" t="str">
        <x:v>American Family Mutual Insurance Co.</x:v>
      </x:c>
      <x:c r="D69" s="14" t="n">
        <x:v>2023</x:v>
      </x:c>
      <x:c r="E69" s="11" t="str">
        <x:v>Dec</x:v>
      </x:c>
      <x:c r="F69" s="11" t="str">
        <x:v>Class B</x:v>
      </x:c>
      <x:c r="G69" s="11" t="str">
        <x:v>U.S. named storm, earthquake, severe thunderstorm, winter storm, wildfire</x:v>
      </x:c>
      <x:c r="H69" s="11" t="str">
        <x:v>Indemnity</x:v>
      </x:c>
      <x:c r="I69" s="11" t="str">
        <x:v>Occurrence</x:v>
      </x:c>
      <x:c r="J69" s="16" t="n">
        <x:v>50</x:v>
      </x:c>
      <x:c r="K69" s="18" t="n">
        <x:v>2.44</x:v>
      </x:c>
      <x:c r="L69" s="18" t="n">
        <x:v>9.5</x:v>
      </x:c>
      <x:c r="M69" s="11" t="str">
        <x:v>Final/updated pricing</x:v>
      </x:c>
      <x:c r="N69" s="11" t="str">
        <x:v>https://www.artemis.bm/deal-directory/four-lakes-re-ltd-series-2023-1/</x:v>
      </x:c>
      <x:c r="O69" s="11" t="str">
        <x:v>Checked against Artemis page/search extract</x:v>
      </x:c>
      <x:c r="P69" s="11"/>
      <x:c r="Q69" s="11" t="str">
        <x:v>Yes</x:v>
      </x:c>
      <x:c r="R69" s="20" t="n">
        <x:f>IFERROR(L69/K69,"")</x:f>
        <x:v>3.8934426229508197</x:v>
      </x:c>
    </x:row>
    <x:row r="70">
      <x:c r="A70" s="11" t="str">
        <x:v>Mona Lisa Re Ltd. (Series 2023-1)</x:v>
      </x:c>
      <x:c r="B70" s="11" t="str">
        <x:v>Mona Lisa Re Ltd.</x:v>
      </x:c>
      <x:c r="C70" s="11" t="str">
        <x:v>Renaissance Re and DaVinci Re</x:v>
      </x:c>
      <x:c r="D70" s="14" t="n">
        <x:v>2023</x:v>
      </x:c>
      <x:c r="E70" s="11" t="str">
        <x:v>Apr</x:v>
      </x:c>
      <x:c r="F70" s="11" t="str">
        <x:v>Class A</x:v>
      </x:c>
      <x:c r="G70" s="11" t="str">
        <x:v>U.S./Canada/Caribbean named storm and earthquake</x:v>
      </x:c>
      <x:c r="H70" s="11" t="str">
        <x:v>Industry loss index</x:v>
      </x:c>
      <x:c r="I70" s="11" t="str">
        <x:v>Annual aggregate</x:v>
      </x:c>
      <x:c r="J70" s="16" t="n">
        <x:v>85</x:v>
      </x:c>
      <x:c r="K70" s="18" t="n">
        <x:v>2.25</x:v>
      </x:c>
      <x:c r="L70" s="18" t="n">
        <x:v>12.25</x:v>
      </x:c>
      <x:c r="M70" s="11" t="str">
        <x:v>Final coupon/spread</x:v>
      </x:c>
      <x:c r="N70" s="11" t="str">
        <x:v>https://www.artemis.bm/deal-directory/mona-lisa-re-ltd-series-2023-1/</x:v>
      </x:c>
      <x:c r="O70" s="11" t="str">
        <x:v>Checked against Artemis page/search extract</x:v>
      </x:c>
      <x:c r="P70" s="11"/>
      <x:c r="Q70" s="11" t="str">
        <x:v>Yes</x:v>
      </x:c>
      <x:c r="R70" s="20" t="n">
        <x:f>IFERROR(L70/K70,"")</x:f>
        <x:v>5.444444444444445</x:v>
      </x:c>
    </x:row>
    <x:row r="71">
      <x:c r="A71" s="11" t="str">
        <x:v>Mona Lisa Re Ltd. (Series 2023-1)</x:v>
      </x:c>
      <x:c r="B71" s="11" t="str">
        <x:v>Mona Lisa Re Ltd.</x:v>
      </x:c>
      <x:c r="C71" s="11" t="str">
        <x:v>Renaissance Re and DaVinci Re</x:v>
      </x:c>
      <x:c r="D71" s="14" t="n">
        <x:v>2023</x:v>
      </x:c>
      <x:c r="E71" s="11" t="str">
        <x:v>Apr</x:v>
      </x:c>
      <x:c r="F71" s="11" t="str">
        <x:v>Class B</x:v>
      </x:c>
      <x:c r="G71" s="11" t="str">
        <x:v>U.S./Canada/Caribbean named storm and earthquake</x:v>
      </x:c>
      <x:c r="H71" s="11" t="str">
        <x:v>Industry loss index</x:v>
      </x:c>
      <x:c r="I71" s="11" t="str">
        <x:v>Per-occurrence</x:v>
      </x:c>
      <x:c r="J71" s="16" t="n">
        <x:v>100</x:v>
      </x:c>
      <x:c r="K71" s="18" t="n">
        <x:v>3.2</x:v>
      </x:c>
      <x:c r="L71" s="18" t="n">
        <x:v>12.5</x:v>
      </x:c>
      <x:c r="M71" s="11" t="str">
        <x:v>Final coupon/spread</x:v>
      </x:c>
      <x:c r="N71" s="11" t="str">
        <x:v>https://www.artemis.bm/deal-directory/mona-lisa-re-ltd-series-2023-1/</x:v>
      </x:c>
      <x:c r="O71" s="11" t="str">
        <x:v>Checked against Artemis page/search extract</x:v>
      </x:c>
      <x:c r="P71" s="11"/>
      <x:c r="Q71" s="11" t="str">
        <x:v>Yes</x:v>
      </x:c>
      <x:c r="R71" s="20" t="n">
        <x:f>IFERROR(L71/K71,"")</x:f>
        <x:v>3.90625</x:v>
      </x:c>
    </x:row>
    <x:row r="72">
      <x:c r="A72" s="11" t="str">
        <x:v>Residential Reinsurance 2023 Limited (Series 2023-1)</x:v>
      </x:c>
      <x:c r="B72" s="11" t="str">
        <x:v>Residential Reinsurance 2023 Limited</x:v>
      </x:c>
      <x:c r="C72" s="11" t="str">
        <x:v>USAA</x:v>
      </x:c>
      <x:c r="D72" s="14" t="n">
        <x:v>2023</x:v>
      </x:c>
      <x:c r="E72" s="11" t="str">
        <x:v>May</x:v>
      </x:c>
      <x:c r="F72" s="11" t="str">
        <x:v>Class 13</x:v>
      </x:c>
      <x:c r="G72" s="11" t="str">
        <x:v>U.S. multi-peril</x:v>
      </x:c>
      <x:c r="H72" s="11" t="str">
        <x:v>Indemnity</x:v>
      </x:c>
      <x:c r="I72" s="11" t="str">
        <x:v>Occurrence</x:v>
      </x:c>
      <x:c r="J72" s="16"/>
      <x:c r="K72" s="18" t="n">
        <x:v>2.11</x:v>
      </x:c>
      <x:c r="L72" s="18" t="n">
        <x:v>10.5</x:v>
      </x:c>
      <x:c r="M72" s="11" t="str">
        <x:v>Final spread</x:v>
      </x:c>
      <x:c r="N72" s="11" t="str">
        <x:v>https://www.artemis.bm/deal-directory/residential-reinsurance-2023-limited-series-2023-1/</x:v>
      </x:c>
      <x:c r="O72" s="11" t="str">
        <x:v>Checked against Artemis page/search extract</x:v>
      </x:c>
      <x:c r="P72" s="11"/>
      <x:c r="Q72" s="11" t="str">
        <x:v>Yes</x:v>
      </x:c>
      <x:c r="R72" s="20" t="n">
        <x:f>IFERROR(L72/K72,"")</x:f>
        <x:v>4.976303317535545</x:v>
      </x:c>
    </x:row>
    <x:row r="73">
      <x:c r="A73" s="11" t="str">
        <x:v>Residential Reinsurance 2023 Limited (Series 2023-1)</x:v>
      </x:c>
      <x:c r="B73" s="11" t="str">
        <x:v>Residential Reinsurance 2023 Limited</x:v>
      </x:c>
      <x:c r="C73" s="11" t="str">
        <x:v>USAA</x:v>
      </x:c>
      <x:c r="D73" s="14" t="n">
        <x:v>2023</x:v>
      </x:c>
      <x:c r="E73" s="11" t="str">
        <x:v>May</x:v>
      </x:c>
      <x:c r="F73" s="11" t="str">
        <x:v>Class 14</x:v>
      </x:c>
      <x:c r="G73" s="11" t="str">
        <x:v>U.S. multi-peril</x:v>
      </x:c>
      <x:c r="H73" s="11" t="str">
        <x:v>Indemnity</x:v>
      </x:c>
      <x:c r="I73" s="11" t="str">
        <x:v>Occurrence</x:v>
      </x:c>
      <x:c r="J73" s="16"/>
      <x:c r="K73" s="18" t="n">
        <x:v>0.75</x:v>
      </x:c>
      <x:c r="L73" s="18" t="n">
        <x:v>6.5</x:v>
      </x:c>
      <x:c r="M73" s="11" t="str">
        <x:v>Final spread</x:v>
      </x:c>
      <x:c r="N73" s="11" t="str">
        <x:v>https://www.artemis.bm/deal-directory/residential-reinsurance-2023-limited-series-2023-1/</x:v>
      </x:c>
      <x:c r="O73" s="11" t="str">
        <x:v>Checked against Artemis page/search extract</x:v>
      </x:c>
      <x:c r="P73" s="11"/>
      <x:c r="Q73" s="11" t="str">
        <x:v>Yes</x:v>
      </x:c>
      <x:c r="R73" s="20" t="n">
        <x:f>IFERROR(L73/K73,"")</x:f>
        <x:v>8.666666666666666</x:v>
      </x:c>
    </x:row>
    <x:row r="74">
      <x:c r="A74" s="11" t="str">
        <x:v>Titania Re Ltd. (Series 2023-1)</x:v>
      </x:c>
      <x:c r="B74" s="11" t="str">
        <x:v>Titania Re Ltd.</x:v>
      </x:c>
      <x:c r="C74" s="11" t="str">
        <x:v>Syndicate 1910 (Ariel Re)</x:v>
      </x:c>
      <x:c r="D74" s="14" t="n">
        <x:v>2023</x:v>
      </x:c>
      <x:c r="E74" s="11" t="str">
        <x:v>Jul</x:v>
      </x:c>
      <x:c r="F74" s="11" t="str">
        <x:v>Class A</x:v>
      </x:c>
      <x:c r="G74" s="11" t="str">
        <x:v>U.S./Canada named storm and earthquake, wildfire</x:v>
      </x:c>
      <x:c r="H74" s="11" t="str">
        <x:v>Indemnity</x:v>
      </x:c>
      <x:c r="I74" s="11" t="str">
        <x:v>Occurrence</x:v>
      </x:c>
      <x:c r="J74" s="16"/>
      <x:c r="K74" s="18" t="n">
        <x:v>2.59</x:v>
      </x:c>
      <x:c r="L74" s="18" t="n">
        <x:v>12.5</x:v>
      </x:c>
      <x:c r="M74" s="11" t="str">
        <x:v>Latest guidance midpoint</x:v>
      </x:c>
      <x:c r="N74" s="11" t="str">
        <x:v>https://www.artemis.bm/deal-directory/titania-re-ltd-series-2023-1/</x:v>
      </x:c>
      <x:c r="O74" s="11" t="str">
        <x:v>Checked against Artemis page/search extract</x:v>
      </x:c>
      <x:c r="P74" s="11"/>
      <x:c r="Q74" s="11" t="str">
        <x:v>Yes</x:v>
      </x:c>
      <x:c r="R74" s="20" t="n">
        <x:f>IFERROR(L74/K74,"")</x:f>
        <x:v>4.826254826254827</x:v>
      </x:c>
    </x:row>
    <x:row r="75">
      <x:c r="A75" s="11" t="str">
        <x:v>Titania Re Ltd. (Series 2023-1)</x:v>
      </x:c>
      <x:c r="B75" s="11" t="str">
        <x:v>Titania Re Ltd.</x:v>
      </x:c>
      <x:c r="C75" s="11" t="str">
        <x:v>Syndicate 1910 (Ariel Re)</x:v>
      </x:c>
      <x:c r="D75" s="14" t="n">
        <x:v>2023</x:v>
      </x:c>
      <x:c r="E75" s="11" t="str">
        <x:v>Jul</x:v>
      </x:c>
      <x:c r="F75" s="11" t="str">
        <x:v>Class B</x:v>
      </x:c>
      <x:c r="G75" s="11" t="str">
        <x:v>U.S./Canada named storm and earthquake, wildfire</x:v>
      </x:c>
      <x:c r="H75" s="11" t="str">
        <x:v>Indemnity</x:v>
      </x:c>
      <x:c r="I75" s="11" t="str">
        <x:v>Occurrence</x:v>
      </x:c>
      <x:c r="J75" s="16"/>
      <x:c r="K75" s="18" t="n">
        <x:v>3.82</x:v>
      </x:c>
      <x:c r="L75" s="18" t="n">
        <x:v>13</x:v>
      </x:c>
      <x:c r="M75" s="11" t="str">
        <x:v>Latest guidance midpoint</x:v>
      </x:c>
      <x:c r="N75" s="11" t="str">
        <x:v>https://www.artemis.bm/deal-directory/titania-re-ltd-series-2023-1/</x:v>
      </x:c>
      <x:c r="O75" s="11" t="str">
        <x:v>Checked against Artemis page/search extract</x:v>
      </x:c>
      <x:c r="P75" s="11"/>
      <x:c r="Q75" s="11" t="str">
        <x:v>Yes</x:v>
      </x:c>
      <x:c r="R75" s="20" t="n">
        <x:f>IFERROR(L75/K75,"")</x:f>
        <x:v>3.4031413612565444</x:v>
      </x:c>
    </x:row>
    <x:row r="76">
      <x:c r="A76" s="11" t="str">
        <x:v>Bayou Re Ltd. (Series 2024-1)</x:v>
      </x:c>
      <x:c r="B76" s="11" t="str">
        <x:v>Bayou Re Ltd.</x:v>
      </x:c>
      <x:c r="C76" s="11" t="str">
        <x:v>Louisiana Citizens Property Insurance Corporation</x:v>
      </x:c>
      <x:c r="D76" s="14" t="n">
        <x:v>2024</x:v>
      </x:c>
      <x:c r="E76" s="11" t="str">
        <x:v>May</x:v>
      </x:c>
      <x:c r="F76" s="11" t="str">
        <x:v>Class A</x:v>
      </x:c>
      <x:c r="G76" s="11" t="str">
        <x:v>Louisiana named storm</x:v>
      </x:c>
      <x:c r="H76" s="11" t="str">
        <x:v>Indemnity</x:v>
      </x:c>
      <x:c r="I76" s="11" t="str">
        <x:v>Occurrence</x:v>
      </x:c>
      <x:c r="J76" s="16"/>
      <x:c r="K76" s="18" t="n">
        <x:v>1.14</x:v>
      </x:c>
      <x:c r="L76" s="18" t="n">
        <x:v>8.5</x:v>
      </x:c>
      <x:c r="M76" s="11" t="str">
        <x:v>Final spread (comparison text in 2025 Artemis page)</x:v>
      </x:c>
      <x:c r="N76" s="11" t="str">
        <x:v>https://www.artemis.bm/deal-directory/bayou-re-ltd-series-2025-1/</x:v>
      </x:c>
      <x:c r="O76" s="11" t="str">
        <x:v>Checked against Artemis page/search extract</x:v>
      </x:c>
      <x:c r="P76" s="11"/>
      <x:c r="Q76" s="11" t="str">
        <x:v>Yes</x:v>
      </x:c>
      <x:c r="R76" s="20" t="n">
        <x:f>IFERROR(L76/K76,"")</x:f>
        <x:v>7.4561403508771935</x:v>
      </x:c>
    </x:row>
    <x:row r="77">
      <x:c r="A77" s="11" t="str">
        <x:v>Bonanza Re Ltd. (Series 2024-1)</x:v>
      </x:c>
      <x:c r="B77" s="11" t="str">
        <x:v>Bonanza Re Ltd.</x:v>
      </x:c>
      <x:c r="C77" s="11" t="str">
        <x:v>Progressive</x:v>
      </x:c>
      <x:c r="D77" s="14" t="n">
        <x:v>2024</x:v>
      </x:c>
      <x:c r="E77" s="11" t="str">
        <x:v>Dec</x:v>
      </x:c>
      <x:c r="F77" s="11" t="str">
        <x:v>Class A</x:v>
      </x:c>
      <x:c r="G77" s="11" t="str">
        <x:v>US named storm, earthquake fire-following, severe thunderstorm, winter storm, wildfire</x:v>
      </x:c>
      <x:c r="H77" s="11" t="str">
        <x:v>Indemnity</x:v>
      </x:c>
      <x:c r="I77" s="11" t="str">
        <x:v>Annual aggregate</x:v>
      </x:c>
      <x:c r="J77" s="16" t="n">
        <x:v>70</x:v>
      </x:c>
      <x:c r="K77" s="18" t="n">
        <x:v>4.09</x:v>
      </x:c>
      <x:c r="L77" s="18" t="n">
        <x:v>20</x:v>
      </x:c>
      <x:c r="M77" s="11" t="str">
        <x:v>Final spread / rough spread equivalent for zero-coupon A</x:v>
      </x:c>
      <x:c r="N77" s="11" t="str">
        <x:v>https://www.artemis.bm/deal-directory/bonanza-re-ltd-series-2024-1/</x:v>
      </x:c>
      <x:c r="O77" s="11" t="str">
        <x:v>Checked against Artemis page/search extract</x:v>
      </x:c>
      <x:c r="P77" s="11"/>
      <x:c r="Q77" s="11" t="str">
        <x:v>Yes</x:v>
      </x:c>
      <x:c r="R77" s="20" t="n">
        <x:f>IFERROR(L77/K77,"")</x:f>
        <x:v>4.88997555012225</x:v>
      </x:c>
    </x:row>
    <x:row r="78">
      <x:c r="A78" s="11" t="str">
        <x:v>Bonanza Re Ltd. (Series 2024-1)</x:v>
      </x:c>
      <x:c r="B78" s="11" t="str">
        <x:v>Bonanza Re Ltd.</x:v>
      </x:c>
      <x:c r="C78" s="11" t="str">
        <x:v>Progressive</x:v>
      </x:c>
      <x:c r="D78" s="14" t="n">
        <x:v>2024</x:v>
      </x:c>
      <x:c r="E78" s="11" t="str">
        <x:v>Dec</x:v>
      </x:c>
      <x:c r="F78" s="11" t="str">
        <x:v>Class B</x:v>
      </x:c>
      <x:c r="G78" s="11" t="str">
        <x:v>US named storm, earthquake fire-following, severe thunderstorm, winter storm, wildfire</x:v>
      </x:c>
      <x:c r="H78" s="11" t="str">
        <x:v>Indemnity</x:v>
      </x:c>
      <x:c r="I78" s="11" t="str">
        <x:v>Per-occurrence</x:v>
      </x:c>
      <x:c r="J78" s="16" t="n">
        <x:v>75</x:v>
      </x:c>
      <x:c r="K78" s="18" t="n">
        <x:v>0.76</x:v>
      </x:c>
      <x:c r="L78" s="18" t="n">
        <x:v>3.75</x:v>
      </x:c>
      <x:c r="M78" s="11" t="str">
        <x:v>Final spread / rough spread equivalent for zero-coupon A</x:v>
      </x:c>
      <x:c r="N78" s="11" t="str">
        <x:v>https://www.artemis.bm/deal-directory/bonanza-re-ltd-series-2024-1/</x:v>
      </x:c>
      <x:c r="O78" s="11" t="str">
        <x:v>Checked against Artemis page/search extract</x:v>
      </x:c>
      <x:c r="P78" s="11"/>
      <x:c r="Q78" s="11" t="str">
        <x:v>Yes</x:v>
      </x:c>
      <x:c r="R78" s="20" t="n">
        <x:f>IFERROR(L78/K78,"")</x:f>
        <x:v>4.934210526315789</x:v>
      </x:c>
    </x:row>
    <x:row r="79">
      <x:c r="A79" s="11" t="str">
        <x:v>Bonanza Re Ltd. (Series 2024-1)</x:v>
      </x:c>
      <x:c r="B79" s="11" t="str">
        <x:v>Bonanza Re Ltd.</x:v>
      </x:c>
      <x:c r="C79" s="11" t="str">
        <x:v>Progressive</x:v>
      </x:c>
      <x:c r="D79" s="14" t="n">
        <x:v>2024</x:v>
      </x:c>
      <x:c r="E79" s="11" t="str">
        <x:v>Dec</x:v>
      </x:c>
      <x:c r="F79" s="11" t="str">
        <x:v>Class C</x:v>
      </x:c>
      <x:c r="G79" s="11" t="str">
        <x:v>US named storm, earthquake fire-following, severe thunderstorm, winter storm, wildfire</x:v>
      </x:c>
      <x:c r="H79" s="11" t="str">
        <x:v>Indemnity</x:v>
      </x:c>
      <x:c r="I79" s="11" t="str">
        <x:v>Per-occurrence</x:v>
      </x:c>
      <x:c r="J79" s="16" t="n">
        <x:v>200</x:v>
      </x:c>
      <x:c r="K79" s="18" t="n">
        <x:v>1.82</x:v>
      </x:c>
      <x:c r="L79" s="18" t="n">
        <x:v>5.5</x:v>
      </x:c>
      <x:c r="M79" s="11" t="str">
        <x:v>Final spread / rough spread equivalent for zero-coupon A</x:v>
      </x:c>
      <x:c r="N79" s="11" t="str">
        <x:v>https://www.artemis.bm/deal-directory/bonanza-re-ltd-series-2024-1/</x:v>
      </x:c>
      <x:c r="O79" s="11" t="str">
        <x:v>Checked against Artemis page/search extract</x:v>
      </x:c>
      <x:c r="P79" s="11"/>
      <x:c r="Q79" s="11" t="str">
        <x:v>Yes</x:v>
      </x:c>
      <x:c r="R79" s="20" t="n">
        <x:f>IFERROR(L79/K79,"")</x:f>
        <x:v>3.021978021978022</x:v>
      </x:c>
    </x:row>
    <x:row r="80">
      <x:c r="A80" s="11" t="str">
        <x:v>Logistics Re Ltd. (Series 2024-1)</x:v>
      </x:c>
      <x:c r="B80" s="11" t="str">
        <x:v>Logistics Re Ltd.</x:v>
      </x:c>
      <x:c r="C80" s="11" t="str">
        <x:v>Prologis</x:v>
      </x:c>
      <x:c r="D80" s="14" t="n">
        <x:v>2024</x:v>
      </x:c>
      <x:c r="E80" s="11" t="str">
        <x:v>Feb</x:v>
      </x:c>
      <x:c r="F80" s="11" t="str">
        <x:v>Class A</x:v>
      </x:c>
      <x:c r="G80" s="11" t="str">
        <x:v>US earthquake</x:v>
      </x:c>
      <x:c r="H80" s="11" t="str">
        <x:v>Parametric</x:v>
      </x:c>
      <x:c r="I80" s="11" t="str">
        <x:v>Occurrence</x:v>
      </x:c>
      <x:c r="J80" s="16"/>
      <x:c r="K80" s="18" t="n">
        <x:v>2.6</x:v>
      </x:c>
      <x:c r="L80" s="18" t="n">
        <x:v>7</x:v>
      </x:c>
      <x:c r="M80" s="11" t="str">
        <x:v>Initial guidance midpoint</x:v>
      </x:c>
      <x:c r="N80" s="11" t="str">
        <x:v>https://www.artemis.bm/deal-directory/logistics-re-ltd-series-2024-1/</x:v>
      </x:c>
      <x:c r="O80" s="11" t="str">
        <x:v>Checked against Artemis page/search extract</x:v>
      </x:c>
      <x:c r="P80" s="11"/>
      <x:c r="Q80" s="11" t="str">
        <x:v>Yes</x:v>
      </x:c>
      <x:c r="R80" s="20" t="n">
        <x:f>IFERROR(L80/K80,"")</x:f>
        <x:v>2.692307692307692</x:v>
      </x:c>
    </x:row>
    <x:row r="81">
      <x:c r="A81" s="11" t="str">
        <x:v>Purple Re Ltd. (Series 2024-1)</x:v>
      </x:c>
      <x:c r="B81" s="11" t="str">
        <x:v>Purple Re Ltd.</x:v>
      </x:c>
      <x:c r="C81" s="11" t="str">
        <x:v>Slide Insurance Company</x:v>
      </x:c>
      <x:c r="D81" s="14" t="n">
        <x:v>2024</x:v>
      </x:c>
      <x:c r="E81" s="11" t="str">
        <x:v>Feb</x:v>
      </x:c>
      <x:c r="F81" s="11" t="str">
        <x:v>Class A</x:v>
      </x:c>
      <x:c r="G81" s="11" t="str">
        <x:v>Florida named storm</x:v>
      </x:c>
      <x:c r="H81" s="11" t="str">
        <x:v>Indemnity</x:v>
      </x:c>
      <x:c r="I81" s="11" t="str">
        <x:v>Occurrence</x:v>
      </x:c>
      <x:c r="J81" s="16" t="n">
        <x:v>210</x:v>
      </x:c>
      <x:c r="K81" s="18"/>
      <x:c r="L81" s="18" t="n">
        <x:v>9</x:v>
      </x:c>
      <x:c r="M81" s="11" t="str">
        <x:v>Final spread; EL not captured</x:v>
      </x:c>
      <x:c r="N81" s="11" t="str">
        <x:v>https://www.artemis.bm/deal-directory/purple-re-ltd-series-2024-1/</x:v>
      </x:c>
      <x:c r="O81" s="11" t="str">
        <x:v>Checked against Artemis page/search extract</x:v>
      </x:c>
      <x:c r="P81" s="11" t="str">
        <x:v>Expected loss not visible in captured extract.</x:v>
      </x:c>
      <x:c r="Q81" s="11" t="str">
        <x:v>No</x:v>
      </x:c>
      <x:c r="R81" s="20" t="str">
        <x:f>IFERROR(L81/K81,"")</x:f>
      </x:c>
    </x:row>
    <x:row r="82">
      <x:c r="A82" s="11" t="str">
        <x:v>Sabine Re Ltd. (Series 2024-1)</x:v>
      </x:c>
      <x:c r="B82" s="11" t="str">
        <x:v>Sabine Re Ltd.</x:v>
      </x:c>
      <x:c r="C82" s="11" t="str">
        <x:v>Allied Trust Insurance Company</x:v>
      </x:c>
      <x:c r="D82" s="14" t="n">
        <x:v>2024</x:v>
      </x:c>
      <x:c r="E82" s="11" t="str">
        <x:v>Mar</x:v>
      </x:c>
      <x:c r="F82" s="11" t="str">
        <x:v>Class A</x:v>
      </x:c>
      <x:c r="G82" s="11" t="str">
        <x:v>Texas/NC/SC/Louisiana named storm</x:v>
      </x:c>
      <x:c r="H82" s="11" t="str">
        <x:v>Indemnity</x:v>
      </x:c>
      <x:c r="I82" s="11" t="str">
        <x:v>Occurrence</x:v>
      </x:c>
      <x:c r="J82" s="16" t="n">
        <x:v>100</x:v>
      </x:c>
      <x:c r="K82" s="18" t="n">
        <x:v>1.48</x:v>
      </x:c>
      <x:c r="L82" s="18" t="n">
        <x:v>8.25</x:v>
      </x:c>
      <x:c r="M82" s="11" t="str">
        <x:v>Final spread</x:v>
      </x:c>
      <x:c r="N82" s="11" t="str">
        <x:v>https://www.artemis.bm/deal-directory/sabine-re-ltd-series-2024-1/</x:v>
      </x:c>
      <x:c r="O82" s="11" t="str">
        <x:v>Checked against Artemis page/search extract</x:v>
      </x:c>
      <x:c r="P82" s="11"/>
      <x:c r="Q82" s="11" t="str">
        <x:v>Yes</x:v>
      </x:c>
      <x:c r="R82" s="20" t="n">
        <x:f>IFERROR(L82/K82,"")</x:f>
        <x:v>5.574324324324325</x:v>
      </x:c>
    </x:row>
    <x:row r="83">
      <x:c r="A83" s="11" t="str">
        <x:v>Veraison Re Ltd. (Series 2024-1)</x:v>
      </x:c>
      <x:c r="B83" s="11" t="str">
        <x:v>Veraison Re Ltd.</x:v>
      </x:c>
      <x:c r="C83" s="11" t="str">
        <x:v>GeoVera Insurance</x:v>
      </x:c>
      <x:c r="D83" s="14" t="n">
        <x:v>2024</x:v>
      </x:c>
      <x:c r="E83" s="11" t="str">
        <x:v>Mar</x:v>
      </x:c>
      <x:c r="F83" s="11" t="str">
        <x:v>Class A</x:v>
      </x:c>
      <x:c r="G83" s="11" t="str">
        <x:v>US earthquake</x:v>
      </x:c>
      <x:c r="H83" s="11" t="str">
        <x:v>Indemnity</x:v>
      </x:c>
      <x:c r="I83" s="11" t="str">
        <x:v>Occurrence</x:v>
      </x:c>
      <x:c r="J83" s="16" t="n">
        <x:v>100</x:v>
      </x:c>
      <x:c r="K83" s="18" t="n">
        <x:v>1</x:v>
      </x:c>
      <x:c r="L83" s="18" t="n">
        <x:v>5.25</x:v>
      </x:c>
      <x:c r="M83" s="11" t="str">
        <x:v>Initial guidance midpoint</x:v>
      </x:c>
      <x:c r="N83" s="11" t="str">
        <x:v>https://www.artemis.bm/deal-directory/veraison-re-ltd-series-2024-1/</x:v>
      </x:c>
      <x:c r="O83" s="11" t="str">
        <x:v>Checked against Artemis page/search extract</x:v>
      </x:c>
      <x:c r="P83" s="11"/>
      <x:c r="Q83" s="11" t="str">
        <x:v>Yes</x:v>
      </x:c>
      <x:c r="R83" s="20" t="n">
        <x:f>IFERROR(L83/K83,"")</x:f>
        <x:v>5.25</x:v>
      </x:c>
    </x:row>
    <x:row r="84">
      <x:c r="A84" s="11" t="str">
        <x:v>3264 Re Ltd. (Series 2025-2)</x:v>
      </x:c>
      <x:c r="B84" s="11" t="str">
        <x:v>3264 Re Ltd.</x:v>
      </x:c>
      <x:c r="C84" s="11" t="str">
        <x:v>Hannover Re</x:v>
      </x:c>
      <x:c r="D84" s="14" t="n">
        <x:v>2025</x:v>
      </x:c>
      <x:c r="E84" s="11" t="str">
        <x:v>May</x:v>
      </x:c>
      <x:c r="F84" s="11" t="str">
        <x:v>Class A</x:v>
      </x:c>
      <x:c r="G84" s="11" t="str">
        <x:v>US named storm, US and Canada earthquake</x:v>
      </x:c>
      <x:c r="H84" s="11" t="str">
        <x:v>Industry loss index</x:v>
      </x:c>
      <x:c r="I84" s="11" t="str">
        <x:v>Occurrence</x:v>
      </x:c>
      <x:c r="J84" s="16" t="n">
        <x:v>150</x:v>
      </x:c>
      <x:c r="K84" s="18" t="n">
        <x:v>3.68</x:v>
      </x:c>
      <x:c r="L84" s="18" t="n">
        <x:v>7.5</x:v>
      </x:c>
      <x:c r="M84" s="11" t="str">
        <x:v>Updated guidance / low end</x:v>
      </x:c>
      <x:c r="N84" s="11" t="str">
        <x:v>https://www.artemis.bm/deal-directory/3264-re-ltd-series-2025-2/</x:v>
      </x:c>
      <x:c r="O84" s="11" t="str">
        <x:v>Checked against Artemis page/search extract</x:v>
      </x:c>
      <x:c r="P84" s="11"/>
      <x:c r="Q84" s="11" t="str">
        <x:v>Yes</x:v>
      </x:c>
      <x:c r="R84" s="20" t="n">
        <x:f>IFERROR(L84/K84,"")</x:f>
        <x:v>2.0380434782608696</x:v>
      </x:c>
    </x:row>
    <x:row r="85">
      <x:c r="A85" s="11" t="str">
        <x:v>Atlas Capital DAC (Series 2025-1)</x:v>
      </x:c>
      <x:c r="B85" s="11" t="str">
        <x:v>Atlas Capital DAC</x:v>
      </x:c>
      <x:c r="C85" s="11" t="str">
        <x:v>SCOR</x:v>
      </x:c>
      <x:c r="D85" s="14" t="n">
        <x:v>2025</x:v>
      </x:c>
      <x:c r="E85" s="11" t="str">
        <x:v>May</x:v>
      </x:c>
      <x:c r="F85" s="11" t="str">
        <x:v>Class A</x:v>
      </x:c>
      <x:c r="G85" s="11" t="str">
        <x:v>U.S./Caribbean named storm, U.S./Canada earthquake, European windstorm</x:v>
      </x:c>
      <x:c r="H85" s="11" t="str">
        <x:v>Industry loss index</x:v>
      </x:c>
      <x:c r="I85" s="11" t="str">
        <x:v>Occurrence</x:v>
      </x:c>
      <x:c r="J85" s="16" t="n">
        <x:v>240</x:v>
      </x:c>
      <x:c r="K85" s="18" t="n">
        <x:v>3.29</x:v>
      </x:c>
      <x:c r="L85" s="18" t="n">
        <x:v>7.25</x:v>
      </x:c>
      <x:c r="M85" s="11" t="str">
        <x:v>Final spread</x:v>
      </x:c>
      <x:c r="N85" s="11" t="str">
        <x:v>https://www.artemis.bm/deal-directory/atlas-capital-dac-series-2025-1/</x:v>
      </x:c>
      <x:c r="O85" s="11" t="str">
        <x:v>Checked against Artemis page/search extract</x:v>
      </x:c>
      <x:c r="P85" s="11"/>
      <x:c r="Q85" s="11" t="str">
        <x:v>Yes</x:v>
      </x:c>
      <x:c r="R85" s="20" t="n">
        <x:f>IFERROR(L85/K85,"")</x:f>
        <x:v>2.2036474164133737</x:v>
      </x:c>
    </x:row>
    <x:row r="86">
      <x:c r="A86" s="11" t="str">
        <x:v>Baldwin Re Ltd. (Series 2025-1)</x:v>
      </x:c>
      <x:c r="B86" s="11" t="str">
        <x:v>Baldwin Re Ltd.</x:v>
      </x:c>
      <x:c r="C86" s="11" t="str">
        <x:v>Vermont Mutual Insurance Company</x:v>
      </x:c>
      <x:c r="D86" s="14" t="n">
        <x:v>2025</x:v>
      </x:c>
      <x:c r="E86" s="11" t="str">
        <x:v>Jun</x:v>
      </x:c>
      <x:c r="F86" s="11" t="str">
        <x:v>Class A</x:v>
      </x:c>
      <x:c r="G86" s="11" t="str">
        <x:v>US Northeast named storm, earthquake, severe weather, fire</x:v>
      </x:c>
      <x:c r="H86" s="11" t="str">
        <x:v>Indemnity</x:v>
      </x:c>
      <x:c r="I86" s="11" t="str">
        <x:v>Occurrence</x:v>
      </x:c>
      <x:c r="J86" s="16" t="n">
        <x:v>250</x:v>
      </x:c>
      <x:c r="K86" s="18" t="n">
        <x:v>1.1</x:v>
      </x:c>
      <x:c r="L86" s="18" t="n">
        <x:v>3.75</x:v>
      </x:c>
      <x:c r="M86" s="11" t="str">
        <x:v>Final spread</x:v>
      </x:c>
      <x:c r="N86" s="11" t="str">
        <x:v>https://www.artemis.bm/deal-directory/baldwin-re-ltd-series-2025-1/</x:v>
      </x:c>
      <x:c r="O86" s="11" t="str">
        <x:v>Checked against Artemis page/search extract</x:v>
      </x:c>
      <x:c r="P86" s="11"/>
      <x:c r="Q86" s="11" t="str">
        <x:v>Yes</x:v>
      </x:c>
      <x:c r="R86" s="20" t="n">
        <x:f>IFERROR(L86/K86,"")</x:f>
        <x:v>3.4090909090909087</x:v>
      </x:c>
    </x:row>
    <x:row r="87">
      <x:c r="A87" s="11" t="str">
        <x:v>Bayou Re Ltd. (Series 2025-1)</x:v>
      </x:c>
      <x:c r="B87" s="11" t="str">
        <x:v>Bayou Re Ltd.</x:v>
      </x:c>
      <x:c r="C87" s="11" t="str">
        <x:v>Louisiana Citizens Property Insurance Corporation</x:v>
      </x:c>
      <x:c r="D87" s="14" t="n">
        <x:v>2025</x:v>
      </x:c>
      <x:c r="E87" s="11" t="str">
        <x:v>May</x:v>
      </x:c>
      <x:c r="F87" s="11" t="str">
        <x:v>Class A</x:v>
      </x:c>
      <x:c r="G87" s="11" t="str">
        <x:v>Louisiana named storm</x:v>
      </x:c>
      <x:c r="H87" s="11" t="str">
        <x:v>Indemnity</x:v>
      </x:c>
      <x:c r="I87" s="11" t="str">
        <x:v>Occurrence</x:v>
      </x:c>
      <x:c r="J87" s="16" t="n">
        <x:v>280</x:v>
      </x:c>
      <x:c r="K87" s="18" t="n">
        <x:v>1.69</x:v>
      </x:c>
      <x:c r="L87" s="18" t="n">
        <x:v>7.25</x:v>
      </x:c>
      <x:c r="M87" s="11" t="str">
        <x:v>Updated guidance midpoint</x:v>
      </x:c>
      <x:c r="N87" s="11" t="str">
        <x:v>https://www.artemis.bm/deal-directory/bayou-re-ltd-series-2025-1/</x:v>
      </x:c>
      <x:c r="O87" s="11" t="str">
        <x:v>Checked against Artemis page/search extract</x:v>
      </x:c>
      <x:c r="P87" s="11"/>
      <x:c r="Q87" s="11" t="str">
        <x:v>Yes</x:v>
      </x:c>
      <x:c r="R87" s="20" t="n">
        <x:f>IFERROR(L87/K87,"")</x:f>
        <x:v>4.289940828402367</x:v>
      </x:c>
    </x:row>
    <x:row r="88">
      <x:c r="A88" s="11" t="str">
        <x:v>Black Kite Re Limited (Series 2025-1)</x:v>
      </x:c>
      <x:c r="B88" s="11" t="str">
        <x:v>Black Kite Re Limited</x:v>
      </x:c>
      <x:c r="C88" s="11" t="str">
        <x:v>Peak Reinsurance Company</x:v>
      </x:c>
      <x:c r="D88" s="14" t="n">
        <x:v>2025</x:v>
      </x:c>
      <x:c r="E88" s="11" t="str">
        <x:v>May</x:v>
      </x:c>
      <x:c r="F88" s="11" t="str">
        <x:v>Class A</x:v>
      </x:c>
      <x:c r="G88" s="11" t="str">
        <x:v>China and India earthquake</x:v>
      </x:c>
      <x:c r="H88" s="11" t="str">
        <x:v>Parametric</x:v>
      </x:c>
      <x:c r="I88" s="11" t="str">
        <x:v>Occurrence</x:v>
      </x:c>
      <x:c r="J88" s="16" t="n">
        <x:v>50</x:v>
      </x:c>
      <x:c r="K88" s="18" t="n">
        <x:v>3.78</x:v>
      </x:c>
      <x:c r="L88" s="18" t="n">
        <x:v>7.625</x:v>
      </x:c>
      <x:c r="M88" s="11" t="str">
        <x:v>Initial guidance midpoint</x:v>
      </x:c>
      <x:c r="N88" s="11" t="str">
        <x:v>https://www.artemis.bm/deal-directory/black-kite-re-limited-series-2025-1/</x:v>
      </x:c>
      <x:c r="O88" s="11" t="str">
        <x:v>Checked against Artemis page/search extract</x:v>
      </x:c>
      <x:c r="P88" s="11"/>
      <x:c r="Q88" s="11" t="str">
        <x:v>Yes</x:v>
      </x:c>
      <x:c r="R88" s="20" t="n">
        <x:f>IFERROR(L88/K88,"")</x:f>
        <x:v>2.0171957671957674</x:v>
      </x:c>
    </x:row>
    <x:row r="89">
      <x:c r="A89" s="11" t="str">
        <x:v>Bluebonnet Re Ltd. (Series 2025-2)</x:v>
      </x:c>
      <x:c r="B89" s="11" t="str">
        <x:v>Bluebonnet Re Ltd.</x:v>
      </x:c>
      <x:c r="C89" s="11" t="str">
        <x:v>Texas FAIR Plan Association</x:v>
      </x:c>
      <x:c r="D89" s="14" t="n">
        <x:v>2025</x:v>
      </x:c>
      <x:c r="E89" s="11" t="str">
        <x:v>Jun</x:v>
      </x:c>
      <x:c r="F89" s="11" t="str">
        <x:v>Class A</x:v>
      </x:c>
      <x:c r="G89" s="11" t="str">
        <x:v>Texas named storm / property catastrophe</x:v>
      </x:c>
      <x:c r="H89" s="11" t="str">
        <x:v>Indemnity</x:v>
      </x:c>
      <x:c r="I89" s="11" t="str">
        <x:v>Occurrence</x:v>
      </x:c>
      <x:c r="J89" s="16" t="n">
        <x:v>200</x:v>
      </x:c>
      <x:c r="K89" s="18" t="n">
        <x:v>4.07</x:v>
      </x:c>
      <x:c r="L89" s="18" t="n">
        <x:v>12</x:v>
      </x:c>
      <x:c r="M89" s="11" t="str">
        <x:v>Final spread</x:v>
      </x:c>
      <x:c r="N89" s="11" t="str">
        <x:v>https://www.artemis.bm/deal-directory/bluebonnet-re-ltd-series-2025-2/</x:v>
      </x:c>
      <x:c r="O89" s="11" t="str">
        <x:v>Checked against Artemis page/search extract</x:v>
      </x:c>
      <x:c r="P89" s="11"/>
      <x:c r="Q89" s="11" t="str">
        <x:v>Yes</x:v>
      </x:c>
      <x:c r="R89" s="20" t="n">
        <x:f>IFERROR(L89/K89,"")</x:f>
        <x:v>2.9484029484029484</x:v>
      </x:c>
    </x:row>
    <x:row r="90">
      <x:c r="A90" s="11" t="str">
        <x:v>Everglades Re II Ltd. (Series 2025-1)</x:v>
      </x:c>
      <x:c r="B90" s="11" t="str">
        <x:v>Everglades Re II Ltd.</x:v>
      </x:c>
      <x:c r="C90" s="11" t="str">
        <x:v>Citizens Property Insurance</x:v>
      </x:c>
      <x:c r="D90" s="14" t="n">
        <x:v>2025</x:v>
      </x:c>
      <x:c r="E90" s="11" t="str">
        <x:v>May</x:v>
      </x:c>
      <x:c r="F90" s="11" t="str">
        <x:v>Class A</x:v>
      </x:c>
      <x:c r="G90" s="11" t="str">
        <x:v>Florida named storm</x:v>
      </x:c>
      <x:c r="H90" s="11" t="str">
        <x:v>Indemnity</x:v>
      </x:c>
      <x:c r="I90" s="11" t="str">
        <x:v>Occurrence</x:v>
      </x:c>
      <x:c r="J90" s="16" t="n">
        <x:v>450</x:v>
      </x:c>
      <x:c r="K90" s="18" t="n">
        <x:v>1.56</x:v>
      </x:c>
      <x:c r="L90" s="18" t="n">
        <x:v>8.75</x:v>
      </x:c>
      <x:c r="M90" s="11" t="str">
        <x:v>Final or low-end guidance; Artemis update text</x:v>
      </x:c>
      <x:c r="N90" s="11" t="str">
        <x:v>https://www.artemis.bm/deal-directory/everglades-re-ii-ltd-series-2025-1/</x:v>
      </x:c>
      <x:c r="O90" s="11" t="str">
        <x:v>Checked against Artemis page/search extract</x:v>
      </x:c>
      <x:c r="P90" s="11"/>
      <x:c r="Q90" s="11" t="str">
        <x:v>Yes</x:v>
      </x:c>
      <x:c r="R90" s="20" t="n">
        <x:f>IFERROR(L90/K90,"")</x:f>
        <x:v>5.608974358974359</x:v>
      </x:c>
    </x:row>
    <x:row r="91">
      <x:c r="A91" s="11" t="str">
        <x:v>Everglades Re II Ltd. (Series 2025-1)</x:v>
      </x:c>
      <x:c r="B91" s="11" t="str">
        <x:v>Everglades Re II Ltd.</x:v>
      </x:c>
      <x:c r="C91" s="11" t="str">
        <x:v>Citizens Property Insurance</x:v>
      </x:c>
      <x:c r="D91" s="14" t="n">
        <x:v>2025</x:v>
      </x:c>
      <x:c r="E91" s="11" t="str">
        <x:v>May</x:v>
      </x:c>
      <x:c r="F91" s="11" t="str">
        <x:v>Class B</x:v>
      </x:c>
      <x:c r="G91" s="11" t="str">
        <x:v>Florida named storm</x:v>
      </x:c>
      <x:c r="H91" s="11" t="str">
        <x:v>Indemnity</x:v>
      </x:c>
      <x:c r="I91" s="11" t="str">
        <x:v>Occurrence</x:v>
      </x:c>
      <x:c r="J91" s="16" t="n">
        <x:v>475</x:v>
      </x:c>
      <x:c r="K91" s="18" t="n">
        <x:v>1.9</x:v>
      </x:c>
      <x:c r="L91" s="18" t="n">
        <x:v>9.75</x:v>
      </x:c>
      <x:c r="M91" s="11" t="str">
        <x:v>Final or low-end guidance; Artemis update text</x:v>
      </x:c>
      <x:c r="N91" s="11" t="str">
        <x:v>https://www.artemis.bm/deal-directory/everglades-re-ii-ltd-series-2025-1/</x:v>
      </x:c>
      <x:c r="O91" s="11" t="str">
        <x:v>Checked against Artemis page/search extract</x:v>
      </x:c>
      <x:c r="P91" s="11"/>
      <x:c r="Q91" s="11" t="str">
        <x:v>Yes</x:v>
      </x:c>
      <x:c r="R91" s="20" t="n">
        <x:f>IFERROR(L91/K91,"")</x:f>
        <x:v>5.131578947368421</x:v>
      </x:c>
    </x:row>
    <x:row r="92">
      <x:c r="A92" s="11" t="str">
        <x:v>Everglades Re II Ltd. (Series 2025-1)</x:v>
      </x:c>
      <x:c r="B92" s="11" t="str">
        <x:v>Everglades Re II Ltd.</x:v>
      </x:c>
      <x:c r="C92" s="11" t="str">
        <x:v>Citizens Property Insurance</x:v>
      </x:c>
      <x:c r="D92" s="14" t="n">
        <x:v>2025</x:v>
      </x:c>
      <x:c r="E92" s="11" t="str">
        <x:v>May</x:v>
      </x:c>
      <x:c r="F92" s="11" t="str">
        <x:v>Class C</x:v>
      </x:c>
      <x:c r="G92" s="11" t="str">
        <x:v>Florida named storm</x:v>
      </x:c>
      <x:c r="H92" s="11" t="str">
        <x:v>Indemnity</x:v>
      </x:c>
      <x:c r="I92" s="11" t="str">
        <x:v>Occurrence</x:v>
      </x:c>
      <x:c r="J92" s="16" t="n">
        <x:v>350</x:v>
      </x:c>
      <x:c r="K92" s="18" t="n">
        <x:v>2.32</x:v>
      </x:c>
      <x:c r="L92" s="18" t="n">
        <x:v>11.25</x:v>
      </x:c>
      <x:c r="M92" s="11" t="str">
        <x:v>Final or low-end guidance; Artemis update text</x:v>
      </x:c>
      <x:c r="N92" s="11" t="str">
        <x:v>https://www.artemis.bm/deal-directory/everglades-re-ii-ltd-series-2025-1/</x:v>
      </x:c>
      <x:c r="O92" s="11" t="str">
        <x:v>Checked against Artemis page/search extract</x:v>
      </x:c>
      <x:c r="P92" s="11"/>
      <x:c r="Q92" s="11" t="str">
        <x:v>Yes</x:v>
      </x:c>
      <x:c r="R92" s="20" t="n">
        <x:f>IFERROR(L92/K92,"")</x:f>
        <x:v>4.849137931034483</x:v>
      </x:c>
    </x:row>
    <x:row r="93">
      <x:c r="A93" s="11" t="str">
        <x:v>Everglades Re II Ltd. (Series 2025-1)</x:v>
      </x:c>
      <x:c r="B93" s="11" t="str">
        <x:v>Everglades Re II Ltd.</x:v>
      </x:c>
      <x:c r="C93" s="11" t="str">
        <x:v>Citizens Property Insurance</x:v>
      </x:c>
      <x:c r="D93" s="14" t="n">
        <x:v>2025</x:v>
      </x:c>
      <x:c r="E93" s="11" t="str">
        <x:v>May</x:v>
      </x:c>
      <x:c r="F93" s="11" t="str">
        <x:v>Class D</x:v>
      </x:c>
      <x:c r="G93" s="11" t="str">
        <x:v>Florida named storm</x:v>
      </x:c>
      <x:c r="H93" s="11" t="str">
        <x:v>Indemnity</x:v>
      </x:c>
      <x:c r="I93" s="11" t="str">
        <x:v>Occurrence</x:v>
      </x:c>
      <x:c r="J93" s="16" t="n">
        <x:v>200</x:v>
      </x:c>
      <x:c r="K93" s="18" t="n">
        <x:v>2.8</x:v>
      </x:c>
      <x:c r="L93" s="18" t="n">
        <x:v>12.5</x:v>
      </x:c>
      <x:c r="M93" s="11" t="str">
        <x:v>Final or low-end guidance; Artemis update text</x:v>
      </x:c>
      <x:c r="N93" s="11" t="str">
        <x:v>https://www.artemis.bm/deal-directory/everglades-re-ii-ltd-series-2025-1/</x:v>
      </x:c>
      <x:c r="O93" s="11" t="str">
        <x:v>Checked against Artemis page/search extract</x:v>
      </x:c>
      <x:c r="P93" s="11"/>
      <x:c r="Q93" s="11" t="str">
        <x:v>Yes</x:v>
      </x:c>
      <x:c r="R93" s="20" t="n">
        <x:f>IFERROR(L93/K93,"")</x:f>
        <x:v>4.464285714285714</x:v>
      </x:c>
    </x:row>
    <x:row r="94">
      <x:c r="A94" s="11" t="str">
        <x:v>Hexagon IV Re Ltd. (Series 2025-1)</x:v>
      </x:c>
      <x:c r="B94" s="11" t="str">
        <x:v>Hexagon IV Re Ltd.</x:v>
      </x:c>
      <x:c r="C94" s="11" t="str">
        <x:v>Covéa Group</x:v>
      </x:c>
      <x:c r="D94" s="14" t="n">
        <x:v>2025</x:v>
      </x:c>
      <x:c r="E94" s="11" t="str">
        <x:v>Nov</x:v>
      </x:c>
      <x:c r="F94" s="11" t="str">
        <x:v>Class A</x:v>
      </x:c>
      <x:c r="G94" s="11" t="str">
        <x:v>France, Monaco, Andorra windstorm/hail/other events</x:v>
      </x:c>
      <x:c r="H94" s="11" t="str">
        <x:v>Indemnity</x:v>
      </x:c>
      <x:c r="I94" s="11" t="str">
        <x:v>Occurrence</x:v>
      </x:c>
      <x:c r="J94" s="16"/>
      <x:c r="K94" s="18" t="n">
        <x:v>2.97</x:v>
      </x:c>
      <x:c r="L94" s="18" t="n">
        <x:v>5.75</x:v>
      </x:c>
      <x:c r="M94" s="11" t="str">
        <x:v>Initial guidance midpoint</x:v>
      </x:c>
      <x:c r="N94" s="11" t="str">
        <x:v>https://www.artemis.bm/deal-directory/hexagon-iv-re-ltd-series-2025-1/</x:v>
      </x:c>
      <x:c r="O94" s="11" t="str">
        <x:v>Checked against Artemis page/search extract</x:v>
      </x:c>
      <x:c r="P94" s="11"/>
      <x:c r="Q94" s="11" t="str">
        <x:v>Yes</x:v>
      </x:c>
      <x:c r="R94" s="20" t="n">
        <x:f>IFERROR(L94/K94,"")</x:f>
        <x:v>1.936026936026936</x:v>
      </x:c>
    </x:row>
    <x:row r="95">
      <x:c r="A95" s="11" t="str">
        <x:v>Hexagon IV Re Ltd. (Series 2025-1)</x:v>
      </x:c>
      <x:c r="B95" s="11" t="str">
        <x:v>Hexagon IV Re Ltd.</x:v>
      </x:c>
      <x:c r="C95" s="11" t="str">
        <x:v>Covéa Group</x:v>
      </x:c>
      <x:c r="D95" s="14" t="n">
        <x:v>2025</x:v>
      </x:c>
      <x:c r="E95" s="11" t="str">
        <x:v>Nov</x:v>
      </x:c>
      <x:c r="F95" s="11" t="str">
        <x:v>Class B</x:v>
      </x:c>
      <x:c r="G95" s="11" t="str">
        <x:v>France, Monaco, Andorra windstorm/hail/other events</x:v>
      </x:c>
      <x:c r="H95" s="11" t="str">
        <x:v>Indemnity</x:v>
      </x:c>
      <x:c r="I95" s="11" t="str">
        <x:v>Occurrence</x:v>
      </x:c>
      <x:c r="J95" s="16"/>
      <x:c r="K95" s="18" t="n">
        <x:v>1.16</x:v>
      </x:c>
      <x:c r="L95" s="18" t="n">
        <x:v>6.75</x:v>
      </x:c>
      <x:c r="M95" s="11" t="str">
        <x:v>Initial guidance midpoint</x:v>
      </x:c>
      <x:c r="N95" s="11" t="str">
        <x:v>https://www.artemis.bm/deal-directory/hexagon-iv-re-ltd-series-2025-1/</x:v>
      </x:c>
      <x:c r="O95" s="11" t="str">
        <x:v>Checked against Artemis page/search extract</x:v>
      </x:c>
      <x:c r="P95" s="11"/>
      <x:c r="Q95" s="11" t="str">
        <x:v>Yes</x:v>
      </x:c>
      <x:c r="R95" s="20" t="n">
        <x:f>IFERROR(L95/K95,"")</x:f>
        <x:v>5.81896551724138</x:v>
      </x:c>
    </x:row>
    <x:row r="96">
      <x:c r="A96" s="11" t="str">
        <x:v>Hypatia Ltd. (Series 2025-1)</x:v>
      </x:c>
      <x:c r="B96" s="11" t="str">
        <x:v>Hypatia Ltd.</x:v>
      </x:c>
      <x:c r="C96" s="11" t="str">
        <x:v>Convex Re</x:v>
      </x:c>
      <x:c r="D96" s="14" t="n">
        <x:v>2025</x:v>
      </x:c>
      <x:c r="E96" s="11" t="str">
        <x:v>Jun</x:v>
      </x:c>
      <x:c r="F96" s="11" t="str">
        <x:v>Class A</x:v>
      </x:c>
      <x:c r="G96" s="11" t="str">
        <x:v>U.S. named storm, U.S. &amp; Canada earthquake</x:v>
      </x:c>
      <x:c r="H96" s="11" t="str">
        <x:v>Industry loss index</x:v>
      </x:c>
      <x:c r="I96" s="11" t="str">
        <x:v>Occurrence</x:v>
      </x:c>
      <x:c r="J96" s="16" t="n">
        <x:v>150</x:v>
      </x:c>
      <x:c r="K96" s="18" t="n">
        <x:v>4.48</x:v>
      </x:c>
      <x:c r="L96" s="18" t="n">
        <x:v>8.5</x:v>
      </x:c>
      <x:c r="M96" s="11" t="str">
        <x:v>Final/low-end latest guidance</x:v>
      </x:c>
      <x:c r="N96" s="11" t="str">
        <x:v>https://www.artemis.bm/deal-directory/hypatia-ltd-series-2025-1/</x:v>
      </x:c>
      <x:c r="O96" s="11" t="str">
        <x:v>Checked against Artemis page/search extract</x:v>
      </x:c>
      <x:c r="P96" s="11"/>
      <x:c r="Q96" s="11" t="str">
        <x:v>Yes</x:v>
      </x:c>
      <x:c r="R96" s="20" t="n">
        <x:f>IFERROR(L96/K96,"")</x:f>
        <x:v>1.8973214285714284</x:v>
      </x:c>
    </x:row>
    <x:row r="97">
      <x:c r="A97" s="11" t="str">
        <x:v>Lion Re DAC (Series 2025-1)</x:v>
      </x:c>
      <x:c r="B97" s="11" t="str">
        <x:v>Lion Re DAC</x:v>
      </x:c>
      <x:c r="C97" s="11" t="str">
        <x:v>Assicurazioni Generali</x:v>
      </x:c>
      <x:c r="D97" s="14" t="n">
        <x:v>2025</x:v>
      </x:c>
      <x:c r="E97" s="11" t="str">
        <x:v>May</x:v>
      </x:c>
      <x:c r="F97" s="11" t="str">
        <x:v>Class A</x:v>
      </x:c>
      <x:c r="G97" s="11" t="str">
        <x:v>European windstorm and Italy earthquake</x:v>
      </x:c>
      <x:c r="H97" s="11" t="str">
        <x:v>Indemnity</x:v>
      </x:c>
      <x:c r="I97" s="11" t="str">
        <x:v>Occurrence</x:v>
      </x:c>
      <x:c r="J97" s="16"/>
      <x:c r="K97" s="18" t="n">
        <x:v>3</x:v>
      </x:c>
      <x:c r="L97" s="18" t="n">
        <x:v>5.875</x:v>
      </x:c>
      <x:c r="M97" s="11" t="str">
        <x:v>Initial guidance midpoint</x:v>
      </x:c>
      <x:c r="N97" s="11" t="str">
        <x:v>https://www.artemis.bm/deal-directory/lion-re-dac/</x:v>
      </x:c>
      <x:c r="O97" s="11" t="str">
        <x:v>Checked against Artemis page/search extract</x:v>
      </x:c>
      <x:c r="P97" s="11"/>
      <x:c r="Q97" s="11" t="str">
        <x:v>Yes</x:v>
      </x:c>
      <x:c r="R97" s="20" t="n">
        <x:f>IFERROR(L97/K97,"")</x:f>
        <x:v>1.9583333333333333</x:v>
      </x:c>
    </x:row>
    <x:row r="98">
      <x:c r="A98" s="11" t="str">
        <x:v>Lion Re DAC (Series 2025-1)</x:v>
      </x:c>
      <x:c r="B98" s="11" t="str">
        <x:v>Lion Re DAC</x:v>
      </x:c>
      <x:c r="C98" s="11" t="str">
        <x:v>Assicurazioni Generali</x:v>
      </x:c>
      <x:c r="D98" s="14" t="n">
        <x:v>2025</x:v>
      </x:c>
      <x:c r="E98" s="11" t="str">
        <x:v>May</x:v>
      </x:c>
      <x:c r="F98" s="11" t="str">
        <x:v>Class B</x:v>
      </x:c>
      <x:c r="G98" s="11" t="str">
        <x:v>Italy earthquake</x:v>
      </x:c>
      <x:c r="H98" s="11" t="str">
        <x:v>Indemnity</x:v>
      </x:c>
      <x:c r="I98" s="11" t="str">
        <x:v>Occurrence</x:v>
      </x:c>
      <x:c r="J98" s="16"/>
      <x:c r="K98" s="18" t="n">
        <x:v>2.33</x:v>
      </x:c>
      <x:c r="L98" s="18" t="n">
        <x:v>5.625</x:v>
      </x:c>
      <x:c r="M98" s="11" t="str">
        <x:v>Initial guidance midpoint</x:v>
      </x:c>
      <x:c r="N98" s="11" t="str">
        <x:v>https://www.artemis.bm/deal-directory/lion-re-dac/</x:v>
      </x:c>
      <x:c r="O98" s="11" t="str">
        <x:v>Checked against Artemis page/search extract</x:v>
      </x:c>
      <x:c r="P98" s="11"/>
      <x:c r="Q98" s="11" t="str">
        <x:v>Yes</x:v>
      </x:c>
      <x:c r="R98" s="20" t="n">
        <x:f>IFERROR(L98/K98,"")</x:f>
        <x:v>2.4141630901287554</x:v>
      </x:c>
    </x:row>
    <x:row r="99">
      <x:c r="A99" s="11" t="str">
        <x:v>Meadows Ltd. (Series 2025-1)</x:v>
      </x:c>
      <x:c r="B99" s="11" t="str">
        <x:v>Meadows Ltd.</x:v>
      </x:c>
      <x:c r="C99" s="11" t="str">
        <x:v>OIS Series 2 LLC / One William Street Capital</x:v>
      </x:c>
      <x:c r="D99" s="14" t="n">
        <x:v>2025</x:v>
      </x:c>
      <x:c r="E99" s="11" t="str">
        <x:v>Nov</x:v>
      </x:c>
      <x:c r="F99" s="11" t="str">
        <x:v>Class A</x:v>
      </x:c>
      <x:c r="G99" s="11" t="str">
        <x:v>US named storm</x:v>
      </x:c>
      <x:c r="H99" s="11" t="str">
        <x:v>Industry loss index</x:v>
      </x:c>
      <x:c r="I99" s="11" t="str">
        <x:v>A/B occurrence; C annual aggregate</x:v>
      </x:c>
      <x:c r="J99" s="16" t="n">
        <x:v>55</x:v>
      </x:c>
      <x:c r="K99" s="18" t="n">
        <x:v>6.96</x:v>
      </x:c>
      <x:c r="L99" s="18" t="n">
        <x:v>12.25</x:v>
      </x:c>
      <x:c r="M99" s="11" t="str">
        <x:v>Final spread</x:v>
      </x:c>
      <x:c r="N99" s="11" t="str">
        <x:v>https://www.artemis.bm/deal-directory/meadows-ltd-series-2025-1/</x:v>
      </x:c>
      <x:c r="O99" s="11" t="str">
        <x:v>Checked against Artemis page/search extract</x:v>
      </x:c>
      <x:c r="P99" s="11"/>
      <x:c r="Q99" s="11" t="str">
        <x:v>Yes</x:v>
      </x:c>
      <x:c r="R99" s="20" t="n">
        <x:f>IFERROR(L99/K99,"")</x:f>
        <x:v>1.7600574712643677</x:v>
      </x:c>
    </x:row>
    <x:row r="100">
      <x:c r="A100" s="11" t="str">
        <x:v>Meadows Ltd. (Series 2025-1)</x:v>
      </x:c>
      <x:c r="B100" s="11" t="str">
        <x:v>Meadows Ltd.</x:v>
      </x:c>
      <x:c r="C100" s="11" t="str">
        <x:v>OIS Series 2 LLC / One William Street Capital</x:v>
      </x:c>
      <x:c r="D100" s="14" t="n">
        <x:v>2025</x:v>
      </x:c>
      <x:c r="E100" s="11" t="str">
        <x:v>Nov</x:v>
      </x:c>
      <x:c r="F100" s="11" t="str">
        <x:v>Class B</x:v>
      </x:c>
      <x:c r="G100" s="11" t="str">
        <x:v>US named storm</x:v>
      </x:c>
      <x:c r="H100" s="11" t="str">
        <x:v>Industry loss index</x:v>
      </x:c>
      <x:c r="I100" s="11" t="str">
        <x:v>A/B occurrence; C annual aggregate</x:v>
      </x:c>
      <x:c r="J100" s="16" t="n">
        <x:v>50</x:v>
      </x:c>
      <x:c r="K100" s="18" t="n">
        <x:v>7.77</x:v>
      </x:c>
      <x:c r="L100" s="18" t="n">
        <x:v>11.5</x:v>
      </x:c>
      <x:c r="M100" s="11" t="str">
        <x:v>Final spread</x:v>
      </x:c>
      <x:c r="N100" s="11" t="str">
        <x:v>https://www.artemis.bm/deal-directory/meadows-ltd-series-2025-1/</x:v>
      </x:c>
      <x:c r="O100" s="11" t="str">
        <x:v>Checked against Artemis page/search extract</x:v>
      </x:c>
      <x:c r="P100" s="11"/>
      <x:c r="Q100" s="11" t="str">
        <x:v>Yes</x:v>
      </x:c>
      <x:c r="R100" s="20" t="n">
        <x:f>IFERROR(L100/K100,"")</x:f>
        <x:v>1.4800514800514801</x:v>
      </x:c>
    </x:row>
    <x:row r="101">
      <x:c r="A101" s="11" t="str">
        <x:v>Meadows Ltd. (Series 2025-1)</x:v>
      </x:c>
      <x:c r="B101" s="11" t="str">
        <x:v>Meadows Ltd.</x:v>
      </x:c>
      <x:c r="C101" s="11" t="str">
        <x:v>OIS Series 2 LLC / One William Street Capital</x:v>
      </x:c>
      <x:c r="D101" s="14" t="n">
        <x:v>2025</x:v>
      </x:c>
      <x:c r="E101" s="11" t="str">
        <x:v>Nov</x:v>
      </x:c>
      <x:c r="F101" s="11" t="str">
        <x:v>Class C</x:v>
      </x:c>
      <x:c r="G101" s="11" t="str">
        <x:v>US named storm</x:v>
      </x:c>
      <x:c r="H101" s="11" t="str">
        <x:v>Industry loss index</x:v>
      </x:c>
      <x:c r="I101" s="11" t="str">
        <x:v>A/B occurrence; C annual aggregate</x:v>
      </x:c>
      <x:c r="J101" s="16" t="n">
        <x:v>30</x:v>
      </x:c>
      <x:c r="K101" s="18" t="n">
        <x:v>2.14</x:v>
      </x:c>
      <x:c r="L101" s="18" t="n">
        <x:v>7.5</x:v>
      </x:c>
      <x:c r="M101" s="11" t="str">
        <x:v>Final spread</x:v>
      </x:c>
      <x:c r="N101" s="11" t="str">
        <x:v>https://www.artemis.bm/deal-directory/meadows-ltd-series-2025-1/</x:v>
      </x:c>
      <x:c r="O101" s="11" t="str">
        <x:v>Checked against Artemis page/search extract</x:v>
      </x:c>
      <x:c r="P101" s="11"/>
      <x:c r="Q101" s="11" t="str">
        <x:v>Yes</x:v>
      </x:c>
      <x:c r="R101" s="20" t="n">
        <x:f>IFERROR(L101/K101,"")</x:f>
        <x:v>3.5046728971962615</x:v>
      </x:c>
    </x:row>
    <x:row r="102">
      <x:c r="A102" s="11" t="str">
        <x:v>Merna Re II Ltd. (Series 2025-2)</x:v>
      </x:c>
      <x:c r="B102" s="11" t="str">
        <x:v>Merna Re II Ltd.</x:v>
      </x:c>
      <x:c r="C102" s="11" t="str">
        <x:v>State Farm</x:v>
      </x:c>
      <x:c r="D102" s="14" t="n">
        <x:v>2025</x:v>
      </x:c>
      <x:c r="E102" s="11" t="str">
        <x:v>May</x:v>
      </x:c>
      <x:c r="F102" s="11" t="str">
        <x:v>Series 2025-2</x:v>
      </x:c>
      <x:c r="G102" s="11" t="str">
        <x:v>US windstorm/hail/tornado/hurricane/earthquake/winter storm</x:v>
      </x:c>
      <x:c r="H102" s="11" t="str">
        <x:v>Indemnity</x:v>
      </x:c>
      <x:c r="I102" s="11" t="str">
        <x:v>Per-occurrence</x:v>
      </x:c>
      <x:c r="J102" s="16" t="n">
        <x:v>300</x:v>
      </x:c>
      <x:c r="K102" s="18" t="n">
        <x:v>3.88</x:v>
      </x:c>
      <x:c r="L102" s="18" t="n">
        <x:v>8.75</x:v>
      </x:c>
      <x:c r="M102" s="11" t="str">
        <x:v>Final spread</x:v>
      </x:c>
      <x:c r="N102" s="11" t="str">
        <x:v>https://www.artemis.bm/deal-directory/merna-re-ii-ltd-series-2025-2/</x:v>
      </x:c>
      <x:c r="O102" s="11" t="str">
        <x:v>Checked against Artemis page/search extract</x:v>
      </x:c>
      <x:c r="P102" s="11"/>
      <x:c r="Q102" s="11" t="str">
        <x:v>Yes</x:v>
      </x:c>
      <x:c r="R102" s="20" t="n">
        <x:f>IFERROR(L102/K102,"")</x:f>
        <x:v>2.2551546391752577</x:v>
      </x:c>
    </x:row>
    <x:row r="103">
      <x:c r="A103" s="11" t="str">
        <x:v>Montoya Re Ltd. (Series 2025-2)</x:v>
      </x:c>
      <x:c r="B103" s="11" t="str">
        <x:v>Montoya Re Ltd.</x:v>
      </x:c>
      <x:c r="C103" s="11" t="str">
        <x:v>Inigo Insurance</x:v>
      </x:c>
      <x:c r="D103" s="14" t="n">
        <x:v>2025</x:v>
      </x:c>
      <x:c r="E103" s="11" t="str">
        <x:v>Dec</x:v>
      </x:c>
      <x:c r="F103" s="11" t="str">
        <x:v>Class A</x:v>
      </x:c>
      <x:c r="G103" s="11" t="str">
        <x:v>U.S. named storm, U.S./Canada earthquake</x:v>
      </x:c>
      <x:c r="H103" s="11" t="str">
        <x:v>Industry loss index</x:v>
      </x:c>
      <x:c r="I103" s="11" t="str">
        <x:v>Annual aggregate</x:v>
      </x:c>
      <x:c r="J103" s="16" t="n">
        <x:v>175</x:v>
      </x:c>
      <x:c r="K103" s="18" t="n">
        <x:v>2.26</x:v>
      </x:c>
      <x:c r="L103" s="18" t="n">
        <x:v>5.125</x:v>
      </x:c>
      <x:c r="M103" s="11" t="str">
        <x:v>Initial guidance midpoint</x:v>
      </x:c>
      <x:c r="N103" s="11" t="str">
        <x:v>https://www.artemis.bm/deal-directory/montoya-re-ltd-series-2025-2/</x:v>
      </x:c>
      <x:c r="O103" s="11" t="str">
        <x:v>Checked against Artemis page/search extract</x:v>
      </x:c>
      <x:c r="P103" s="11"/>
      <x:c r="Q103" s="11" t="str">
        <x:v>Yes</x:v>
      </x:c>
      <x:c r="R103" s="20" t="n">
        <x:f>IFERROR(L103/K103,"")</x:f>
        <x:v>2.267699115044248</x:v>
      </x:c>
    </x:row>
    <x:row r="104">
      <x:c r="A104" s="11" t="str">
        <x:v>Montoya Re Ltd. (Series 2025-2)</x:v>
      </x:c>
      <x:c r="B104" s="11" t="str">
        <x:v>Montoya Re Ltd.</x:v>
      </x:c>
      <x:c r="C104" s="11" t="str">
        <x:v>Inigo Insurance</x:v>
      </x:c>
      <x:c r="D104" s="14" t="n">
        <x:v>2025</x:v>
      </x:c>
      <x:c r="E104" s="11" t="str">
        <x:v>Dec</x:v>
      </x:c>
      <x:c r="F104" s="11" t="str">
        <x:v>Class B</x:v>
      </x:c>
      <x:c r="G104" s="11" t="str">
        <x:v>U.S. named storm, U.S./Canada earthquake</x:v>
      </x:c>
      <x:c r="H104" s="11" t="str">
        <x:v>Industry loss index</x:v>
      </x:c>
      <x:c r="I104" s="11" t="str">
        <x:v>Annual aggregate</x:v>
      </x:c>
      <x:c r="J104" s="16" t="n">
        <x:v>50</x:v>
      </x:c>
      <x:c r="K104" s="18" t="n">
        <x:v>7.19</x:v>
      </x:c>
      <x:c r="L104" s="18" t="n">
        <x:v>13.125</x:v>
      </x:c>
      <x:c r="M104" s="11" t="str">
        <x:v>Initial guidance midpoint</x:v>
      </x:c>
      <x:c r="N104" s="11" t="str">
        <x:v>https://www.artemis.bm/deal-directory/montoya-re-ltd-series-2025-2/</x:v>
      </x:c>
      <x:c r="O104" s="11" t="str">
        <x:v>Checked against Artemis page/search extract</x:v>
      </x:c>
      <x:c r="P104" s="11"/>
      <x:c r="Q104" s="11" t="str">
        <x:v>Yes</x:v>
      </x:c>
      <x:c r="R104" s="20" t="n">
        <x:f>IFERROR(L104/K104,"")</x:f>
        <x:v>1.825452016689847</x:v>
      </x:c>
    </x:row>
    <x:row r="105">
      <x:c r="A105" s="11" t="str">
        <x:v>Montoya Re Ltd. (Series 2025-2)</x:v>
      </x:c>
      <x:c r="B105" s="11" t="str">
        <x:v>Montoya Re Ltd.</x:v>
      </x:c>
      <x:c r="C105" s="11" t="str">
        <x:v>Inigo Insurance</x:v>
      </x:c>
      <x:c r="D105" s="14" t="n">
        <x:v>2025</x:v>
      </x:c>
      <x:c r="E105" s="11" t="str">
        <x:v>Dec</x:v>
      </x:c>
      <x:c r="F105" s="11" t="str">
        <x:v>Class C</x:v>
      </x:c>
      <x:c r="G105" s="11" t="str">
        <x:v>U.S. named storm, U.S./Canada earthquake</x:v>
      </x:c>
      <x:c r="H105" s="11" t="str">
        <x:v>Industry loss index</x:v>
      </x:c>
      <x:c r="I105" s="11" t="str">
        <x:v>Second/subsequent occurrence</x:v>
      </x:c>
      <x:c r="J105" s="16" t="n">
        <x:v>30</x:v>
      </x:c>
      <x:c r="K105" s="18" t="n">
        <x:v>2.38</x:v>
      </x:c>
      <x:c r="L105" s="18" t="n">
        <x:v>6.25</x:v>
      </x:c>
      <x:c r="M105" s="11" t="str">
        <x:v>Initial guidance midpoint</x:v>
      </x:c>
      <x:c r="N105" s="11" t="str">
        <x:v>https://www.artemis.bm/deal-directory/montoya-re-ltd-series-2025-2/</x:v>
      </x:c>
      <x:c r="O105" s="11" t="str">
        <x:v>Checked against Artemis page/search extract</x:v>
      </x:c>
      <x:c r="P105" s="11"/>
      <x:c r="Q105" s="11" t="str">
        <x:v>Yes</x:v>
      </x:c>
      <x:c r="R105" s="20" t="n">
        <x:f>IFERROR(L105/K105,"")</x:f>
        <x:v>2.6260504201680672</x:v>
      </x:c>
    </x:row>
    <x:row r="106">
      <x:c r="A106" s="11" t="str">
        <x:v>Nature Coast Re Ltd. (Series 2025-2)</x:v>
      </x:c>
      <x:c r="B106" s="11" t="str">
        <x:v>Nature Coast Re Ltd.</x:v>
      </x:c>
      <x:c r="C106" s="11" t="str">
        <x:v>SafePoint Insurance Company</x:v>
      </x:c>
      <x:c r="D106" s="14" t="n">
        <x:v>2025</x:v>
      </x:c>
      <x:c r="E106" s="11" t="str">
        <x:v>Jun</x:v>
      </x:c>
      <x:c r="F106" s="11" t="str">
        <x:v>Class A</x:v>
      </x:c>
      <x:c r="G106" s="11" t="str">
        <x:v>U.S. named storm</x:v>
      </x:c>
      <x:c r="H106" s="11" t="str">
        <x:v>Indemnity</x:v>
      </x:c>
      <x:c r="I106" s="11" t="str">
        <x:v>Occurrence</x:v>
      </x:c>
      <x:c r="J106" s="16" t="n">
        <x:v>150</x:v>
      </x:c>
      <x:c r="K106" s="18" t="n">
        <x:v>1.58</x:v>
      </x:c>
      <x:c r="L106" s="18" t="n">
        <x:v>9.75</x:v>
      </x:c>
      <x:c r="M106" s="11" t="str">
        <x:v>Final spread</x:v>
      </x:c>
      <x:c r="N106" s="11" t="str">
        <x:v>https://www.artemis.bm/deal-directory/nature-coast-re-ltd-series-2025-2/</x:v>
      </x:c>
      <x:c r="O106" s="11" t="str">
        <x:v>Checked against Artemis page/search extract</x:v>
      </x:c>
      <x:c r="P106" s="11"/>
      <x:c r="Q106" s="11" t="str">
        <x:v>Yes</x:v>
      </x:c>
      <x:c r="R106" s="20" t="n">
        <x:f>IFERROR(L106/K106,"")</x:f>
        <x:v>6.170886075949367</x:v>
      </x:c>
    </x:row>
    <x:row r="107">
      <x:c r="A107" s="11" t="str">
        <x:v>Purple Re Ltd. (Series 2025-1)</x:v>
      </x:c>
      <x:c r="B107" s="11" t="str">
        <x:v>Purple Re Ltd.</x:v>
      </x:c>
      <x:c r="C107" s="11" t="str">
        <x:v>Slide Insurance Company</x:v>
      </x:c>
      <x:c r="D107" s="14" t="n">
        <x:v>2025</x:v>
      </x:c>
      <x:c r="E107" s="11" t="str">
        <x:v>Feb</x:v>
      </x:c>
      <x:c r="F107" s="11" t="str">
        <x:v>Class A</x:v>
      </x:c>
      <x:c r="G107" s="11" t="str">
        <x:v>Florida/South Carolina/Rhode Island/New Jersey/New York named storm</x:v>
      </x:c>
      <x:c r="H107" s="11" t="str">
        <x:v>Indemnity</x:v>
      </x:c>
      <x:c r="I107" s="11" t="str">
        <x:v>Occurrence</x:v>
      </x:c>
      <x:c r="J107" s="16" t="n">
        <x:v>125</x:v>
      </x:c>
      <x:c r="K107" s="18" t="n">
        <x:v>1.05</x:v>
      </x:c>
      <x:c r="L107" s="18" t="n">
        <x:v>7.25</x:v>
      </x:c>
      <x:c r="M107" s="11" t="str">
        <x:v>Final spread</x:v>
      </x:c>
      <x:c r="N107" s="11" t="str">
        <x:v>https://www.artemis.bm/deal-directory/purple-re-ltd-series-2025-1/</x:v>
      </x:c>
      <x:c r="O107" s="11" t="str">
        <x:v>Checked against Artemis page/search extract</x:v>
      </x:c>
      <x:c r="P107" s="11"/>
      <x:c r="Q107" s="11" t="str">
        <x:v>Yes</x:v>
      </x:c>
      <x:c r="R107" s="20" t="n">
        <x:f>IFERROR(L107/K107,"")</x:f>
        <x:v>6.904761904761904</x:v>
      </x:c>
    </x:row>
    <x:row r="108">
      <x:c r="A108" s="11" t="str">
        <x:v>Purple Re Ltd. (Series 2025-1)</x:v>
      </x:c>
      <x:c r="B108" s="11" t="str">
        <x:v>Purple Re Ltd.</x:v>
      </x:c>
      <x:c r="C108" s="11" t="str">
        <x:v>Slide Insurance Company</x:v>
      </x:c>
      <x:c r="D108" s="14" t="n">
        <x:v>2025</x:v>
      </x:c>
      <x:c r="E108" s="11" t="str">
        <x:v>Feb</x:v>
      </x:c>
      <x:c r="F108" s="11" t="str">
        <x:v>Class B</x:v>
      </x:c>
      <x:c r="G108" s="11" t="str">
        <x:v>Florida/South Carolina/Rhode Island/New Jersey/New York named storm</x:v>
      </x:c>
      <x:c r="H108" s="11" t="str">
        <x:v>Indemnity</x:v>
      </x:c>
      <x:c r="I108" s="11" t="str">
        <x:v>Occurrence</x:v>
      </x:c>
      <x:c r="J108" s="16" t="n">
        <x:v>125</x:v>
      </x:c>
      <x:c r="K108" s="18" t="n">
        <x:v>1.33</x:v>
      </x:c>
      <x:c r="L108" s="18" t="n">
        <x:v>7.75</x:v>
      </x:c>
      <x:c r="M108" s="11" t="str">
        <x:v>Final spread</x:v>
      </x:c>
      <x:c r="N108" s="11" t="str">
        <x:v>https://www.artemis.bm/deal-directory/purple-re-ltd-series-2025-1/</x:v>
      </x:c>
      <x:c r="O108" s="11" t="str">
        <x:v>Checked against Artemis page/search extract</x:v>
      </x:c>
      <x:c r="P108" s="11"/>
      <x:c r="Q108" s="11" t="str">
        <x:v>Yes</x:v>
      </x:c>
      <x:c r="R108" s="20" t="n">
        <x:f>IFERROR(L108/K108,"")</x:f>
        <x:v>5.827067669172932</x:v>
      </x:c>
    </x:row>
    <x:row r="109">
      <x:c r="A109" s="11" t="str">
        <x:v>Recoletos Re DAC (Series 2025-1)</x:v>
      </x:c>
      <x:c r="B109" s="11" t="str">
        <x:v>Recoletos Re DAC</x:v>
      </x:c>
      <x:c r="C109" s="11" t="str">
        <x:v>Mapfre Re</x:v>
      </x:c>
      <x:c r="D109" s="14" t="n">
        <x:v>2025</x:v>
      </x:c>
      <x:c r="E109" s="11" t="str">
        <x:v>Nov</x:v>
      </x:c>
      <x:c r="F109" s="11" t="str">
        <x:v>Class A</x:v>
      </x:c>
      <x:c r="G109" s="11" t="str">
        <x:v>European windstorm</x:v>
      </x:c>
      <x:c r="H109" s="11" t="str">
        <x:v>Indemnity</x:v>
      </x:c>
      <x:c r="I109" s="11" t="str">
        <x:v>Occurrence</x:v>
      </x:c>
      <x:c r="J109" s="16" t="n">
        <x:v>125</x:v>
      </x:c>
      <x:c r="K109" s="18"/>
      <x:c r="L109" s="18" t="n">
        <x:v>3.5</x:v>
      </x:c>
      <x:c r="M109" s="11" t="str">
        <x:v>Final spread; EL not captured</x:v>
      </x:c>
      <x:c r="N109" s="11" t="str">
        <x:v>https://www.artemis.bm/deal-directory/recoletos-re-dac-series-2025-1/</x:v>
      </x:c>
      <x:c r="O109" s="11" t="str">
        <x:v>Checked against Artemis page/search extract</x:v>
      </x:c>
      <x:c r="P109" s="11" t="str">
        <x:v>Expected loss not visible in captured search extract; exclude from regression until verified.</x:v>
      </x:c>
      <x:c r="Q109" s="11" t="str">
        <x:v>No</x:v>
      </x:c>
      <x:c r="R109" s="20" t="str">
        <x:f>IFERROR(L109/K109,"")</x:f>
      </x:c>
    </x:row>
    <x:row r="110">
      <x:c r="A110" s="11" t="str">
        <x:v>Residential Reinsurance 2025 Limited (Series 2025-2)</x:v>
      </x:c>
      <x:c r="B110" s="11" t="str">
        <x:v>Residential Reinsurance 2025 Limited</x:v>
      </x:c>
      <x:c r="C110" s="11" t="str">
        <x:v>USAA</x:v>
      </x:c>
      <x:c r="D110" s="14" t="n">
        <x:v>2025</x:v>
      </x:c>
      <x:c r="E110" s="11" t="str">
        <x:v>Nov</x:v>
      </x:c>
      <x:c r="F110" s="11" t="str">
        <x:v>Class 2</x:v>
      </x:c>
      <x:c r="G110" s="11" t="str">
        <x:v>U.S. multi-peril</x:v>
      </x:c>
      <x:c r="H110" s="11" t="str">
        <x:v>Indemnity</x:v>
      </x:c>
      <x:c r="I110" s="11" t="str">
        <x:v>Occurrence</x:v>
      </x:c>
      <x:c r="J110" s="16" t="n">
        <x:v>200</x:v>
      </x:c>
      <x:c r="K110" s="18" t="n">
        <x:v>6.47</x:v>
      </x:c>
      <x:c r="L110" s="18" t="n">
        <x:v>10.25</x:v>
      </x:c>
      <x:c r="M110" s="11" t="str">
        <x:v>Final spread</x:v>
      </x:c>
      <x:c r="N110" s="11" t="str">
        <x:v>https://www.artemis.bm/deal-directory/residential-reinsurance-2025-limited-series-2025-2/</x:v>
      </x:c>
      <x:c r="O110" s="11" t="str">
        <x:v>Checked against Artemis page/search extract</x:v>
      </x:c>
      <x:c r="P110" s="11"/>
      <x:c r="Q110" s="11" t="str">
        <x:v>Yes</x:v>
      </x:c>
      <x:c r="R110" s="20" t="n">
        <x:f>IFERROR(L110/K110,"")</x:f>
        <x:v>1.5842349304482226</x:v>
      </x:c>
    </x:row>
    <x:row r="111">
      <x:c r="A111" s="11" t="str">
        <x:v>Residential Reinsurance 2025 Limited (Series 2025-2)</x:v>
      </x:c>
      <x:c r="B111" s="11" t="str">
        <x:v>Residential Reinsurance 2025 Limited</x:v>
      </x:c>
      <x:c r="C111" s="11" t="str">
        <x:v>USAA</x:v>
      </x:c>
      <x:c r="D111" s="14" t="n">
        <x:v>2025</x:v>
      </x:c>
      <x:c r="E111" s="11" t="str">
        <x:v>Nov</x:v>
      </x:c>
      <x:c r="F111" s="11" t="str">
        <x:v>Class 5</x:v>
      </x:c>
      <x:c r="G111" s="11" t="str">
        <x:v>U.S. multi-peril</x:v>
      </x:c>
      <x:c r="H111" s="11" t="str">
        <x:v>Indemnity</x:v>
      </x:c>
      <x:c r="I111" s="11" t="str">
        <x:v>Occurrence</x:v>
      </x:c>
      <x:c r="J111" s="16" t="n">
        <x:v>200</x:v>
      </x:c>
      <x:c r="K111" s="18" t="n">
        <x:v>1.82</x:v>
      </x:c>
      <x:c r="L111" s="18" t="n">
        <x:v>3.25</x:v>
      </x:c>
      <x:c r="M111" s="11" t="str">
        <x:v>Final spread</x:v>
      </x:c>
      <x:c r="N111" s="11" t="str">
        <x:v>https://www.artemis.bm/deal-directory/residential-reinsurance-2025-limited-series-2025-2/</x:v>
      </x:c>
      <x:c r="O111" s="11" t="str">
        <x:v>Checked against Artemis page/search extract</x:v>
      </x:c>
      <x:c r="P111" s="11"/>
      <x:c r="Q111" s="11" t="str">
        <x:v>Yes</x:v>
      </x:c>
      <x:c r="R111" s="20" t="n">
        <x:f>IFERROR(L111/K111,"")</x:f>
        <x:v>1.7857142857142856</x:v>
      </x:c>
    </x:row>
    <x:row r="112">
      <x:c r="A112" s="11" t="str">
        <x:v>Sakura Re Ltd. (Series 2025-1)</x:v>
      </x:c>
      <x:c r="B112" s="11" t="str">
        <x:v>Sakura Re Ltd.</x:v>
      </x:c>
      <x:c r="C112" s="11" t="str">
        <x:v>Sompo Japan</x:v>
      </x:c>
      <x:c r="D112" s="14" t="n">
        <x:v>2025</x:v>
      </x:c>
      <x:c r="E112" s="11" t="str">
        <x:v>Jun</x:v>
      </x:c>
      <x:c r="F112" s="11" t="str">
        <x:v>Class A</x:v>
      </x:c>
      <x:c r="G112" s="11" t="str">
        <x:v>Japan typhoon and flood</x:v>
      </x:c>
      <x:c r="H112" s="11" t="str">
        <x:v>Indemnity</x:v>
      </x:c>
      <x:c r="I112" s="11" t="str">
        <x:v>Occurrence</x:v>
      </x:c>
      <x:c r="J112" s="16" t="n">
        <x:v>150</x:v>
      </x:c>
      <x:c r="K112" s="18" t="n">
        <x:v>1.58</x:v>
      </x:c>
      <x:c r="L112" s="18" t="n">
        <x:v>2.875</x:v>
      </x:c>
      <x:c r="M112" s="11" t="str">
        <x:v>Initial guidance midpoint</x:v>
      </x:c>
      <x:c r="N112" s="11" t="str">
        <x:v>https://www.artemis.bm/deal-directory/sakura-re-ltd-series-2025-1/</x:v>
      </x:c>
      <x:c r="O112" s="11" t="str">
        <x:v>Checked against Artemis page/search extract</x:v>
      </x:c>
      <x:c r="P112" s="11"/>
      <x:c r="Q112" s="11" t="str">
        <x:v>Yes</x:v>
      </x:c>
      <x:c r="R112" s="20" t="n">
        <x:f>IFERROR(L112/K112,"")</x:f>
        <x:v>1.8196202531645569</x:v>
      </x:c>
    </x:row>
    <x:row r="113">
      <x:c r="A113" s="11" t="str">
        <x:v>Sanders Re II Ltd. (Series 2025-1)</x:v>
      </x:c>
      <x:c r="B113" s="11" t="str">
        <x:v>Sanders Re II Ltd.</x:v>
      </x:c>
      <x:c r="C113" s="11" t="str">
        <x:v>Allstate</x:v>
      </x:c>
      <x:c r="D113" s="14" t="n">
        <x:v>2025</x:v>
      </x:c>
      <x:c r="E113" s="11" t="str">
        <x:v>May</x:v>
      </x:c>
      <x:c r="F113" s="11" t="str">
        <x:v>Class A-1</x:v>
      </x:c>
      <x:c r="G113" s="11" t="str">
        <x:v>US named storm, earthquake, severe weather, wildfire, volcanic eruption, meteorite impact</x:v>
      </x:c>
      <x:c r="H113" s="11" t="str">
        <x:v>Indemnity</x:v>
      </x:c>
      <x:c r="I113" s="11" t="str">
        <x:v>Aggregate</x:v>
      </x:c>
      <x:c r="J113" s="16"/>
      <x:c r="K113" s="18" t="n">
        <x:v>0.6221</x:v>
      </x:c>
      <x:c r="L113" s="18" t="n">
        <x:v>4</x:v>
      </x:c>
      <x:c r="M113" s="11" t="str">
        <x:v>Updated/final pricing</x:v>
      </x:c>
      <x:c r="N113" s="11" t="str">
        <x:v>https://www.artemis.bm/deal-directory/sanders-re-ii-ltd-series-2025-1/</x:v>
      </x:c>
      <x:c r="O113" s="11" t="str">
        <x:v>Checked against Artemis page/search extract</x:v>
      </x:c>
      <x:c r="P113" s="11"/>
      <x:c r="Q113" s="11" t="str">
        <x:v>Yes</x:v>
      </x:c>
      <x:c r="R113" s="20" t="n">
        <x:f>IFERROR(L113/K113,"")</x:f>
        <x:v>6.429834431763382</x:v>
      </x:c>
    </x:row>
    <x:row r="114">
      <x:c r="A114" s="11" t="str">
        <x:v>Sanders Re II Ltd. (Series 2025-1)</x:v>
      </x:c>
      <x:c r="B114" s="11" t="str">
        <x:v>Sanders Re II Ltd.</x:v>
      </x:c>
      <x:c r="C114" s="11" t="str">
        <x:v>Allstate</x:v>
      </x:c>
      <x:c r="D114" s="14" t="n">
        <x:v>2025</x:v>
      </x:c>
      <x:c r="E114" s="11" t="str">
        <x:v>May</x:v>
      </x:c>
      <x:c r="F114" s="11" t="str">
        <x:v>Class A-2</x:v>
      </x:c>
      <x:c r="G114" s="11" t="str">
        <x:v>US named storm, earthquake, severe weather, wildfire, volcanic eruption, meteorite impact</x:v>
      </x:c>
      <x:c r="H114" s="11" t="str">
        <x:v>Indemnity</x:v>
      </x:c>
      <x:c r="I114" s="11" t="str">
        <x:v>Aggregate</x:v>
      </x:c>
      <x:c r="J114" s="16"/>
      <x:c r="K114" s="18" t="n">
        <x:v>0.6221</x:v>
      </x:c>
      <x:c r="L114" s="18" t="n">
        <x:v>4.25</x:v>
      </x:c>
      <x:c r="M114" s="11" t="str">
        <x:v>Updated/final pricing</x:v>
      </x:c>
      <x:c r="N114" s="11" t="str">
        <x:v>https://www.artemis.bm/deal-directory/sanders-re-ii-ltd-series-2025-1/</x:v>
      </x:c>
      <x:c r="O114" s="11" t="str">
        <x:v>Checked against Artemis page/search extract</x:v>
      </x:c>
      <x:c r="P114" s="11"/>
      <x:c r="Q114" s="11" t="str">
        <x:v>Yes</x:v>
      </x:c>
      <x:c r="R114" s="20" t="n">
        <x:f>IFERROR(L114/K114,"")</x:f>
        <x:v>6.831699083748593</x:v>
      </x:c>
    </x:row>
    <x:row r="115">
      <x:c r="A115" s="11" t="str">
        <x:v>Sanders Re II Ltd. (Series 2025-1)</x:v>
      </x:c>
      <x:c r="B115" s="11" t="str">
        <x:v>Sanders Re II Ltd.</x:v>
      </x:c>
      <x:c r="C115" s="11" t="str">
        <x:v>Allstate</x:v>
      </x:c>
      <x:c r="D115" s="14" t="n">
        <x:v>2025</x:v>
      </x:c>
      <x:c r="E115" s="11" t="str">
        <x:v>May</x:v>
      </x:c>
      <x:c r="F115" s="11" t="str">
        <x:v>Class B-2</x:v>
      </x:c>
      <x:c r="G115" s="11" t="str">
        <x:v>US named storm, earthquake, severe weather, wildfire, volcanic eruption, meteorite impact</x:v>
      </x:c>
      <x:c r="H115" s="11" t="str">
        <x:v>Indemnity</x:v>
      </x:c>
      <x:c r="I115" s="11" t="str">
        <x:v>Aggregate</x:v>
      </x:c>
      <x:c r="J115" s="16"/>
      <x:c r="K115" s="18" t="n">
        <x:v>0.8771</x:v>
      </x:c>
      <x:c r="L115" s="18" t="n">
        <x:v>4.75</x:v>
      </x:c>
      <x:c r="M115" s="11" t="str">
        <x:v>Updated/final pricing</x:v>
      </x:c>
      <x:c r="N115" s="11" t="str">
        <x:v>https://www.artemis.bm/deal-directory/sanders-re-ii-ltd-series-2025-1/</x:v>
      </x:c>
      <x:c r="O115" s="11" t="str">
        <x:v>Checked against Artemis page/search extract</x:v>
      </x:c>
      <x:c r="P115" s="11"/>
      <x:c r="Q115" s="11" t="str">
        <x:v>Yes</x:v>
      </x:c>
      <x:c r="R115" s="20" t="n">
        <x:f>IFERROR(L115/K115,"")</x:f>
        <x:v>5.41557405084939</x:v>
      </x:c>
    </x:row>
    <x:row r="116">
      <x:c r="A116" s="11" t="str">
        <x:v>Sanders Re II Ltd. (Series 2025-2)</x:v>
      </x:c>
      <x:c r="B116" s="11" t="str">
        <x:v>Sanders Re II Ltd.</x:v>
      </x:c>
      <x:c r="C116" s="11" t="str">
        <x:v>Allstate</x:v>
      </x:c>
      <x:c r="D116" s="14" t="n">
        <x:v>2025</x:v>
      </x:c>
      <x:c r="E116" s="11" t="str">
        <x:v>May</x:v>
      </x:c>
      <x:c r="F116" s="11" t="str">
        <x:v>Class A</x:v>
      </x:c>
      <x:c r="G116" s="11" t="str">
        <x:v>Florida named storm, earthquake, severe weather, wildfire etc.</x:v>
      </x:c>
      <x:c r="H116" s="11" t="str">
        <x:v>Indemnity</x:v>
      </x:c>
      <x:c r="I116" s="11" t="str">
        <x:v>Occurrence</x:v>
      </x:c>
      <x:c r="J116" s="16" t="n">
        <x:v>150</x:v>
      </x:c>
      <x:c r="K116" s="18" t="n">
        <x:v>1.74</x:v>
      </x:c>
      <x:c r="L116" s="18" t="n">
        <x:v>7.375</x:v>
      </x:c>
      <x:c r="M116" s="11" t="str">
        <x:v>Initial guidance midpoint</x:v>
      </x:c>
      <x:c r="N116" s="11" t="str">
        <x:v>https://www.artemis.bm/deal-directory/sanders-re-ii-ltd-series-2025-2/</x:v>
      </x:c>
      <x:c r="O116" s="11" t="str">
        <x:v>Checked against Artemis page/search extract</x:v>
      </x:c>
      <x:c r="P116" s="11"/>
      <x:c r="Q116" s="11" t="str">
        <x:v>Yes</x:v>
      </x:c>
      <x:c r="R116" s="20" t="n">
        <x:f>IFERROR(L116/K116,"")</x:f>
        <x:v>4.238505747126437</x:v>
      </x:c>
    </x:row>
    <x:row r="117">
      <x:c r="A117" s="11" t="str">
        <x:v>Alamo Re Ltd. (Series 2026-1)</x:v>
      </x:c>
      <x:c r="B117" s="11" t="str">
        <x:v>Alamo Re Ltd.</x:v>
      </x:c>
      <x:c r="C117" s="11" t="str">
        <x:v>Texas Windstorm Insurance Association</x:v>
      </x:c>
      <x:c r="D117" s="14" t="n">
        <x:v>2026</x:v>
      </x:c>
      <x:c r="E117" s="11" t="str">
        <x:v>May</x:v>
      </x:c>
      <x:c r="F117" s="11" t="str">
        <x:v>Class A</x:v>
      </x:c>
      <x:c r="G117" s="11" t="str">
        <x:v>Texas named storms and severe thunderstorms</x:v>
      </x:c>
      <x:c r="H117" s="11" t="str">
        <x:v>Indemnity</x:v>
      </x:c>
      <x:c r="I117" s="11" t="str">
        <x:v>Occurrence</x:v>
      </x:c>
      <x:c r="J117" s="16" t="n">
        <x:v>300</x:v>
      </x:c>
      <x:c r="K117" s="18" t="n">
        <x:v>2.79</x:v>
      </x:c>
      <x:c r="L117" s="18" t="n">
        <x:v>5.25</x:v>
      </x:c>
      <x:c r="M117" s="11" t="str">
        <x:v>Final spread</x:v>
      </x:c>
      <x:c r="N117" s="11" t="str">
        <x:v>https://www.artemis.bm/deal-directory/alamo-re-ltd-series-2026-1/</x:v>
      </x:c>
      <x:c r="O117" s="11" t="str">
        <x:v>Checked against Artemis page/search extract</x:v>
      </x:c>
      <x:c r="P117" s="11"/>
      <x:c r="Q117" s="11" t="str">
        <x:v>Yes</x:v>
      </x:c>
      <x:c r="R117" s="20" t="n">
        <x:f>IFERROR(L117/K117,"")</x:f>
        <x:v>1.8817204301075268</x:v>
      </x:c>
    </x:row>
    <x:row r="118">
      <x:c r="A118" s="11" t="str">
        <x:v>Alamo Re Ltd. (Series 2026-1)</x:v>
      </x:c>
      <x:c r="B118" s="11" t="str">
        <x:v>Alamo Re Ltd.</x:v>
      </x:c>
      <x:c r="C118" s="11" t="str">
        <x:v>Texas Windstorm Insurance Association</x:v>
      </x:c>
      <x:c r="D118" s="14" t="n">
        <x:v>2026</x:v>
      </x:c>
      <x:c r="E118" s="11" t="str">
        <x:v>May</x:v>
      </x:c>
      <x:c r="F118" s="11" t="str">
        <x:v>Class B</x:v>
      </x:c>
      <x:c r="G118" s="11" t="str">
        <x:v>Texas named storms and severe thunderstorms</x:v>
      </x:c>
      <x:c r="H118" s="11" t="str">
        <x:v>Indemnity</x:v>
      </x:c>
      <x:c r="I118" s="11" t="str">
        <x:v>Occurrence</x:v>
      </x:c>
      <x:c r="J118" s="16" t="n">
        <x:v>300</x:v>
      </x:c>
      <x:c r="K118" s="18" t="n">
        <x:v>3.63</x:v>
      </x:c>
      <x:c r="L118" s="18" t="n">
        <x:v>7.25</x:v>
      </x:c>
      <x:c r="M118" s="11" t="str">
        <x:v>Final spread</x:v>
      </x:c>
      <x:c r="N118" s="11" t="str">
        <x:v>https://www.artemis.bm/deal-directory/alamo-re-ltd-series-2026-1/</x:v>
      </x:c>
      <x:c r="O118" s="11" t="str">
        <x:v>Checked against Artemis page/search extract</x:v>
      </x:c>
      <x:c r="P118" s="11"/>
      <x:c r="Q118" s="11" t="str">
        <x:v>Yes</x:v>
      </x:c>
      <x:c r="R118" s="20" t="n">
        <x:f>IFERROR(L118/K118,"")</x:f>
        <x:v>1.997245179063361</x:v>
      </x:c>
    </x:row>
    <x:row r="119">
      <x:c r="A119" s="11" t="str">
        <x:v>Alamo Re Ltd. (Series 2026-1)</x:v>
      </x:c>
      <x:c r="B119" s="11" t="str">
        <x:v>Alamo Re Ltd.</x:v>
      </x:c>
      <x:c r="C119" s="11" t="str">
        <x:v>Texas Windstorm Insurance Association</x:v>
      </x:c>
      <x:c r="D119" s="14" t="n">
        <x:v>2026</x:v>
      </x:c>
      <x:c r="E119" s="11" t="str">
        <x:v>May</x:v>
      </x:c>
      <x:c r="F119" s="11" t="str">
        <x:v>Class C</x:v>
      </x:c>
      <x:c r="G119" s="11" t="str">
        <x:v>Texas named storms and severe thunderstorms</x:v>
      </x:c>
      <x:c r="H119" s="11" t="str">
        <x:v>Indemnity</x:v>
      </x:c>
      <x:c r="I119" s="11" t="str">
        <x:v>Occurrence</x:v>
      </x:c>
      <x:c r="J119" s="16" t="n">
        <x:v>150</x:v>
      </x:c>
      <x:c r="K119" s="18" t="n">
        <x:v>5.01</x:v>
      </x:c>
      <x:c r="L119" s="18" t="n">
        <x:v>10.5</x:v>
      </x:c>
      <x:c r="M119" s="11" t="str">
        <x:v>Final spread</x:v>
      </x:c>
      <x:c r="N119" s="11" t="str">
        <x:v>https://www.artemis.bm/deal-directory/alamo-re-ltd-series-2026-1/</x:v>
      </x:c>
      <x:c r="O119" s="11" t="str">
        <x:v>Checked against Artemis page/search extract</x:v>
      </x:c>
      <x:c r="P119" s="11"/>
      <x:c r="Q119" s="11" t="str">
        <x:v>Yes</x:v>
      </x:c>
      <x:c r="R119" s="20" t="n">
        <x:f>IFERROR(L119/K119,"")</x:f>
        <x:v>2.0958083832335332</x:v>
      </x:c>
    </x:row>
    <x:row r="120">
      <x:c r="A120" s="11" t="str">
        <x:v>Aquila Re I Ltd. (Series 2026-1)</x:v>
      </x:c>
      <x:c r="B120" s="11" t="str">
        <x:v>Aquila Re I Ltd.</x:v>
      </x:c>
      <x:c r="C120" s="11" t="str">
        <x:v>Nationwide Mutual Insurance Co.</x:v>
      </x:c>
      <x:c r="D120" s="14" t="n">
        <x:v>2026</x:v>
      </x:c>
      <x:c r="E120" s="11" t="str">
        <x:v>May</x:v>
      </x:c>
      <x:c r="F120" s="11" t="str">
        <x:v>Class B-1</x:v>
      </x:c>
      <x:c r="G120" s="11" t="str">
        <x:v>U.S. named storm, earthquake, severe thunderstorm, winter storm, wildfire etc.</x:v>
      </x:c>
      <x:c r="H120" s="11" t="str">
        <x:v>Indemnity</x:v>
      </x:c>
      <x:c r="I120" s="11" t="str">
        <x:v>Occurrence</x:v>
      </x:c>
      <x:c r="J120" s="16" t="n">
        <x:v>100</x:v>
      </x:c>
      <x:c r="K120" s="18" t="n">
        <x:v>1.24</x:v>
      </x:c>
      <x:c r="L120" s="18" t="n">
        <x:v>5.125</x:v>
      </x:c>
      <x:c r="M120" s="11" t="str">
        <x:v>Initial guidance midpoint</x:v>
      </x:c>
      <x:c r="N120" s="11" t="str">
        <x:v>https://www.artemis.bm/deal-directory/aquila-re-i-ltd-series-2026-1/</x:v>
      </x:c>
      <x:c r="O120" s="11" t="str">
        <x:v>Checked against Artemis page/search extract</x:v>
      </x:c>
      <x:c r="P120" s="11"/>
      <x:c r="Q120" s="11" t="str">
        <x:v>Yes</x:v>
      </x:c>
      <x:c r="R120" s="20" t="n">
        <x:f>IFERROR(L120/K120,"")</x:f>
        <x:v>4.133064516129032</x:v>
      </x:c>
    </x:row>
    <x:row r="121">
      <x:c r="A121" s="11" t="str">
        <x:v>Armor Re II Ltd. (Series 2026-1)</x:v>
      </x:c>
      <x:c r="B121" s="11" t="str">
        <x:v>Armor Re II Ltd.</x:v>
      </x:c>
      <x:c r="C121" s="11" t="str">
        <x:v>American Coastal Insurance Company</x:v>
      </x:c>
      <x:c r="D121" s="14" t="n">
        <x:v>2026</x:v>
      </x:c>
      <x:c r="E121" s="11" t="str">
        <x:v>Apr</x:v>
      </x:c>
      <x:c r="F121" s="11" t="str">
        <x:v>Class A</x:v>
      </x:c>
      <x:c r="G121" s="11" t="str">
        <x:v>Florida named storm, earthquake fire-following, severe weather, fire</x:v>
      </x:c>
      <x:c r="H121" s="11" t="str">
        <x:v>Indemnity</x:v>
      </x:c>
      <x:c r="I121" s="11" t="str">
        <x:v>Occurrence</x:v>
      </x:c>
      <x:c r="J121" s="16" t="n">
        <x:v>100</x:v>
      </x:c>
      <x:c r="K121" s="18" t="n">
        <x:v>0.44</x:v>
      </x:c>
      <x:c r="L121" s="18" t="n">
        <x:v>5</x:v>
      </x:c>
      <x:c r="M121" s="11" t="str">
        <x:v>Final spread</x:v>
      </x:c>
      <x:c r="N121" s="11" t="str">
        <x:v>https://www.artemis.bm/deal-directory/armor-re-ii-ltd-series-2026-1/</x:v>
      </x:c>
      <x:c r="O121" s="11" t="str">
        <x:v>Checked against Artemis page/search extract</x:v>
      </x:c>
      <x:c r="P121" s="11"/>
      <x:c r="Q121" s="11" t="str">
        <x:v>Yes</x:v>
      </x:c>
      <x:c r="R121" s="20" t="n">
        <x:f>IFERROR(L121/K121,"")</x:f>
        <x:v>11.363636363636363</x:v>
      </x:c>
    </x:row>
    <x:row r="122">
      <x:c r="A122" s="11" t="str">
        <x:v>Armor Re II Ltd. (Series 2026-1)</x:v>
      </x:c>
      <x:c r="B122" s="11" t="str">
        <x:v>Armor Re II Ltd.</x:v>
      </x:c>
      <x:c r="C122" s="11" t="str">
        <x:v>American Coastal Insurance Company</x:v>
      </x:c>
      <x:c r="D122" s="14" t="n">
        <x:v>2026</x:v>
      </x:c>
      <x:c r="E122" s="11" t="str">
        <x:v>Apr</x:v>
      </x:c>
      <x:c r="F122" s="11" t="str">
        <x:v>Class B</x:v>
      </x:c>
      <x:c r="G122" s="11" t="str">
        <x:v>Florida named storm, earthquake fire-following, severe weather, fire</x:v>
      </x:c>
      <x:c r="H122" s="11" t="str">
        <x:v>Indemnity</x:v>
      </x:c>
      <x:c r="I122" s="11" t="str">
        <x:v>Occurrence</x:v>
      </x:c>
      <x:c r="J122" s="16" t="n">
        <x:v>100</x:v>
      </x:c>
      <x:c r="K122" s="18" t="n">
        <x:v>4.22</x:v>
      </x:c>
      <x:c r="L122" s="18" t="n">
        <x:v>15</x:v>
      </x:c>
      <x:c r="M122" s="11" t="str">
        <x:v>Updated guidance midpoint</x:v>
      </x:c>
      <x:c r="N122" s="11" t="str">
        <x:v>https://www.artemis.bm/deal-directory/armor-re-ii-ltd-series-2026-1/</x:v>
      </x:c>
      <x:c r="O122" s="11" t="str">
        <x:v>Checked against Artemis page/search extract</x:v>
      </x:c>
      <x:c r="P122" s="11"/>
      <x:c r="Q122" s="11" t="str">
        <x:v>Yes</x:v>
      </x:c>
      <x:c r="R122" s="20" t="n">
        <x:f>IFERROR(L122/K122,"")</x:f>
        <x:v>3.5545023696682465</x:v>
      </x:c>
    </x:row>
    <x:row r="123">
      <x:c r="A123" s="11" t="str">
        <x:v>Atlas Capital DAC (Series 2026-1)</x:v>
      </x:c>
      <x:c r="B123" s="11" t="str">
        <x:v>Atlas Capital DAC</x:v>
      </x:c>
      <x:c r="C123" s="11" t="str">
        <x:v>SCOR</x:v>
      </x:c>
      <x:c r="D123" s="14" t="n">
        <x:v>2026</x:v>
      </x:c>
      <x:c r="E123" s="11" t="str">
        <x:v>May</x:v>
      </x:c>
      <x:c r="F123" s="11" t="str">
        <x:v>Class A</x:v>
      </x:c>
      <x:c r="G123" s="11" t="str">
        <x:v>U.S./Caribbean named storm, U.S./Canada earthquakes, European windstorms</x:v>
      </x:c>
      <x:c r="H123" s="11" t="str">
        <x:v>Industry loss index</x:v>
      </x:c>
      <x:c r="I123" s="11" t="str">
        <x:v>Occurrence</x:v>
      </x:c>
      <x:c r="J123" s="16" t="n">
        <x:v>75</x:v>
      </x:c>
      <x:c r="K123" s="18" t="n">
        <x:v>3.13</x:v>
      </x:c>
      <x:c r="L123" s="18" t="n">
        <x:v>6.25</x:v>
      </x:c>
      <x:c r="M123" s="11" t="str">
        <x:v>Initial guidance midpoint</x:v>
      </x:c>
      <x:c r="N123" s="11" t="str">
        <x:v>https://www.artemis.bm/deal-directory/atlas-capital-dac-series-2026-1/</x:v>
      </x:c>
      <x:c r="O123" s="11" t="str">
        <x:v>Checked against Artemis page/search extract</x:v>
      </x:c>
      <x:c r="P123" s="11"/>
      <x:c r="Q123" s="11" t="str">
        <x:v>Yes</x:v>
      </x:c>
      <x:c r="R123" s="20" t="n">
        <x:f>IFERROR(L123/K123,"")</x:f>
        <x:v>1.9968051118210863</x:v>
      </x:c>
    </x:row>
    <x:row r="124">
      <x:c r="A124" s="11" t="str">
        <x:v>Buttonwood Re Ltd. (Series 2026-1)</x:v>
      </x:c>
      <x:c r="B124" s="11" t="str">
        <x:v>Buttonwood Re Ltd.</x:v>
      </x:c>
      <x:c r="C124" s="11" t="str">
        <x:v>Mangrove Property Insurance</x:v>
      </x:c>
      <x:c r="D124" s="14" t="n">
        <x:v>2026</x:v>
      </x:c>
      <x:c r="E124" s="11" t="str">
        <x:v>May</x:v>
      </x:c>
      <x:c r="F124" s="11" t="str">
        <x:v>Class A</x:v>
      </x:c>
      <x:c r="G124" s="11" t="str">
        <x:v>Florida named storm</x:v>
      </x:c>
      <x:c r="H124" s="11" t="str">
        <x:v>Indemnity</x:v>
      </x:c>
      <x:c r="I124" s="11" t="str">
        <x:v>Occurrence</x:v>
      </x:c>
      <x:c r="J124" s="16" t="n">
        <x:v>25</x:v>
      </x:c>
      <x:c r="K124" s="18" t="n">
        <x:v>1.1</x:v>
      </x:c>
      <x:c r="L124" s="18" t="n">
        <x:v>5</x:v>
      </x:c>
      <x:c r="M124" s="11" t="str">
        <x:v>Final spread</x:v>
      </x:c>
      <x:c r="N124" s="11" t="str">
        <x:v>https://www.artemis.bm/deal-directory/buttonwood-re-ltd-series-2026-1/</x:v>
      </x:c>
      <x:c r="O124" s="11" t="str">
        <x:v>Checked against Artemis page/search extract</x:v>
      </x:c>
      <x:c r="P124" s="11"/>
      <x:c r="Q124" s="11" t="str">
        <x:v>Yes</x:v>
      </x:c>
      <x:c r="R124" s="20" t="n">
        <x:f>IFERROR(L124/K124,"")</x:f>
        <x:v>4.545454545454545</x:v>
      </x:c>
    </x:row>
    <x:row r="125">
      <x:c r="A125" s="11" t="str">
        <x:v>Buttonwood Re Ltd. (Series 2026-1)</x:v>
      </x:c>
      <x:c r="B125" s="11" t="str">
        <x:v>Buttonwood Re Ltd.</x:v>
      </x:c>
      <x:c r="C125" s="11" t="str">
        <x:v>Mangrove Property Insurance</x:v>
      </x:c>
      <x:c r="D125" s="14" t="n">
        <x:v>2026</x:v>
      </x:c>
      <x:c r="E125" s="11" t="str">
        <x:v>May</x:v>
      </x:c>
      <x:c r="F125" s="11" t="str">
        <x:v>Class B</x:v>
      </x:c>
      <x:c r="G125" s="11" t="str">
        <x:v>Florida named storm</x:v>
      </x:c>
      <x:c r="H125" s="11" t="str">
        <x:v>Indemnity</x:v>
      </x:c>
      <x:c r="I125" s="11" t="str">
        <x:v>Occurrence</x:v>
      </x:c>
      <x:c r="J125" s="16" t="n">
        <x:v>25</x:v>
      </x:c>
      <x:c r="K125" s="18" t="n">
        <x:v>1.71</x:v>
      </x:c>
      <x:c r="L125" s="18" t="n">
        <x:v>6.5</x:v>
      </x:c>
      <x:c r="M125" s="11" t="str">
        <x:v>Final spread</x:v>
      </x:c>
      <x:c r="N125" s="11" t="str">
        <x:v>https://www.artemis.bm/deal-directory/buttonwood-re-ltd-series-2026-1/</x:v>
      </x:c>
      <x:c r="O125" s="11" t="str">
        <x:v>Checked against Artemis page/search extract</x:v>
      </x:c>
      <x:c r="P125" s="11"/>
      <x:c r="Q125" s="11" t="str">
        <x:v>Yes</x:v>
      </x:c>
      <x:c r="R125" s="20" t="n">
        <x:f>IFERROR(L125/K125,"")</x:f>
        <x:v>3.801169590643275</x:v>
      </x:c>
    </x:row>
    <x:row r="126">
      <x:c r="A126" s="11" t="str">
        <x:v>Buttonwood Re Ltd. (Series 2026-1)</x:v>
      </x:c>
      <x:c r="B126" s="11" t="str">
        <x:v>Buttonwood Re Ltd.</x:v>
      </x:c>
      <x:c r="C126" s="11" t="str">
        <x:v>Mangrove Property Insurance</x:v>
      </x:c>
      <x:c r="D126" s="14" t="n">
        <x:v>2026</x:v>
      </x:c>
      <x:c r="E126" s="11" t="str">
        <x:v>May</x:v>
      </x:c>
      <x:c r="F126" s="11" t="str">
        <x:v>Class C</x:v>
      </x:c>
      <x:c r="G126" s="11" t="str">
        <x:v>Florida named storm</x:v>
      </x:c>
      <x:c r="H126" s="11" t="str">
        <x:v>Indemnity</x:v>
      </x:c>
      <x:c r="I126" s="11" t="str">
        <x:v>Occurrence</x:v>
      </x:c>
      <x:c r="J126" s="16" t="n">
        <x:v>25</x:v>
      </x:c>
      <x:c r="K126" s="18" t="n">
        <x:v>2.59</x:v>
      </x:c>
      <x:c r="L126" s="18" t="n">
        <x:v>8</x:v>
      </x:c>
      <x:c r="M126" s="11" t="str">
        <x:v>Final spread</x:v>
      </x:c>
      <x:c r="N126" s="11" t="str">
        <x:v>https://www.artemis.bm/deal-directory/buttonwood-re-ltd-series-2026-1/</x:v>
      </x:c>
      <x:c r="O126" s="11" t="str">
        <x:v>Checked against Artemis page/search extract</x:v>
      </x:c>
      <x:c r="P126" s="11"/>
      <x:c r="Q126" s="11" t="str">
        <x:v>Yes</x:v>
      </x:c>
      <x:c r="R126" s="20" t="n">
        <x:f>IFERROR(L126/K126,"")</x:f>
        <x:v>3.088803088803089</x:v>
      </x:c>
    </x:row>
    <x:row r="127">
      <x:c r="A127" s="11" t="str">
        <x:v>Buttonwood Re Ltd. (Series 2026-1)</x:v>
      </x:c>
      <x:c r="B127" s="11" t="str">
        <x:v>Buttonwood Re Ltd.</x:v>
      </x:c>
      <x:c r="C127" s="11" t="str">
        <x:v>Mangrove Property Insurance</x:v>
      </x:c>
      <x:c r="D127" s="14" t="n">
        <x:v>2026</x:v>
      </x:c>
      <x:c r="E127" s="11" t="str">
        <x:v>May</x:v>
      </x:c>
      <x:c r="F127" s="11" t="str">
        <x:v>Class D</x:v>
      </x:c>
      <x:c r="G127" s="11" t="str">
        <x:v>Florida named storm</x:v>
      </x:c>
      <x:c r="H127" s="11" t="str">
        <x:v>Indemnity</x:v>
      </x:c>
      <x:c r="I127" s="11" t="str">
        <x:v>Annual aggregate</x:v>
      </x:c>
      <x:c r="J127" s="16" t="n">
        <x:v>36</x:v>
      </x:c>
      <x:c r="K127" s="18" t="n">
        <x:v>0.13</x:v>
      </x:c>
      <x:c r="L127" s="18" t="n">
        <x:v>5.5</x:v>
      </x:c>
      <x:c r="M127" s="11" t="str">
        <x:v>Final spread</x:v>
      </x:c>
      <x:c r="N127" s="11" t="str">
        <x:v>https://www.artemis.bm/deal-directory/buttonwood-re-ltd-series-2026-1/</x:v>
      </x:c>
      <x:c r="O127" s="11" t="str">
        <x:v>Checked against Artemis page/search extract</x:v>
      </x:c>
      <x:c r="P127" s="11"/>
      <x:c r="Q127" s="11" t="str">
        <x:v>Yes</x:v>
      </x:c>
      <x:c r="R127" s="20" t="n">
        <x:f>IFERROR(L127/K127,"")</x:f>
        <x:v>42.30769230769231</x:v>
      </x:c>
    </x:row>
    <x:row r="128">
      <x:c r="A128" s="11" t="str">
        <x:v>Foundation Re IV Ltd. (Series 2026-1)</x:v>
      </x:c>
      <x:c r="B128" s="11" t="str">
        <x:v>Foundation Re IV Ltd.</x:v>
      </x:c>
      <x:c r="C128" s="11" t="str">
        <x:v>Hartford Fire Insurance Co.</x:v>
      </x:c>
      <x:c r="D128" s="14" t="n">
        <x:v>2026</x:v>
      </x:c>
      <x:c r="E128" s="11" t="str">
        <x:v>Dec</x:v>
      </x:c>
      <x:c r="F128" s="11" t="str">
        <x:v>Class A</x:v>
      </x:c>
      <x:c r="G128" s="11" t="str">
        <x:v>US named storm, US earthquake</x:v>
      </x:c>
      <x:c r="H128" s="11" t="str">
        <x:v>Indemnity</x:v>
      </x:c>
      <x:c r="I128" s="11" t="str">
        <x:v>Occurrence</x:v>
      </x:c>
      <x:c r="J128" s="16" t="n">
        <x:v>270</x:v>
      </x:c>
      <x:c r="K128" s="18" t="n">
        <x:v>1.18</x:v>
      </x:c>
      <x:c r="L128" s="18" t="n">
        <x:v>4</x:v>
      </x:c>
      <x:c r="M128" s="11" t="str">
        <x:v>Initial guidance midpoint</x:v>
      </x:c>
      <x:c r="N128" s="11" t="str">
        <x:v>https://www.artemis.bm/deal-directory/foundation-re-iv-ltd-series-2026-1/</x:v>
      </x:c>
      <x:c r="O128" s="11" t="str">
        <x:v>Checked against Artemis page/search extract</x:v>
      </x:c>
      <x:c r="P128" s="11"/>
      <x:c r="Q128" s="11" t="str">
        <x:v>Yes</x:v>
      </x:c>
      <x:c r="R128" s="20" t="n">
        <x:f>IFERROR(L128/K128,"")</x:f>
        <x:v>3.3898305084745766</x:v>
      </x:c>
    </x:row>
    <x:row r="129">
      <x:c r="A129" s="11" t="str">
        <x:v>Gateway Re Ltd. (Series 2026-2)</x:v>
      </x:c>
      <x:c r="B129" s="11" t="str">
        <x:v>Gateway Re Ltd.</x:v>
      </x:c>
      <x:c r="C129" s="11" t="str">
        <x:v>Auros Reciprocal Insurance Exchange / Interboro</x:v>
      </x:c>
      <x:c r="D129" s="14" t="n">
        <x:v>2026</x:v>
      </x:c>
      <x:c r="E129" s="11" t="str">
        <x:v>Mar</x:v>
      </x:c>
      <x:c r="F129" s="11" t="str">
        <x:v>Class A</x:v>
      </x:c>
      <x:c r="G129" s="11" t="str">
        <x:v>U.S. named storm, earthquake, severe thunderstorm, winter storm, wildfire</x:v>
      </x:c>
      <x:c r="H129" s="11" t="str">
        <x:v>Indemnity</x:v>
      </x:c>
      <x:c r="I129" s="11" t="str">
        <x:v>Occurrence</x:v>
      </x:c>
      <x:c r="J129" s="16" t="n">
        <x:v>75</x:v>
      </x:c>
      <x:c r="K129" s="18" t="n">
        <x:v>1.99</x:v>
      </x:c>
      <x:c r="L129" s="18" t="n">
        <x:v>6.25</x:v>
      </x:c>
      <x:c r="M129" s="11" t="str">
        <x:v>Final spread</x:v>
      </x:c>
      <x:c r="N129" s="11" t="str">
        <x:v>https://www.artemis.bm/deal-directory/gateway-re-ltd-series-2026-2/</x:v>
      </x:c>
      <x:c r="O129" s="11" t="str">
        <x:v>Checked against Artemis page/search extract</x:v>
      </x:c>
      <x:c r="P129" s="11"/>
      <x:c r="Q129" s="11" t="str">
        <x:v>Yes</x:v>
      </x:c>
      <x:c r="R129" s="20" t="n">
        <x:f>IFERROR(L129/K129,"")</x:f>
        <x:v>3.14070351758794</x:v>
      </x:c>
    </x:row>
    <x:row r="130">
      <x:c r="A130" s="11" t="str">
        <x:v>Gateway Re Ltd. (Series 2026-2)</x:v>
      </x:c>
      <x:c r="B130" s="11" t="str">
        <x:v>Gateway Re Ltd.</x:v>
      </x:c>
      <x:c r="C130" s="11" t="str">
        <x:v>Auros Reciprocal Insurance Exchange / Interboro</x:v>
      </x:c>
      <x:c r="D130" s="14" t="n">
        <x:v>2026</x:v>
      </x:c>
      <x:c r="E130" s="11" t="str">
        <x:v>Mar</x:v>
      </x:c>
      <x:c r="F130" s="11" t="str">
        <x:v>Class B</x:v>
      </x:c>
      <x:c r="G130" s="11" t="str">
        <x:v>U.S. named storm, earthquake, severe thunderstorm, winter storm, wildfire</x:v>
      </x:c>
      <x:c r="H130" s="11" t="str">
        <x:v>Indemnity</x:v>
      </x:c>
      <x:c r="I130" s="11" t="str">
        <x:v>Occurrence</x:v>
      </x:c>
      <x:c r="J130" s="16" t="n">
        <x:v>100</x:v>
      </x:c>
      <x:c r="K130" s="18" t="n">
        <x:v>5.29</x:v>
      </x:c>
      <x:c r="L130" s="18" t="n">
        <x:v>12</x:v>
      </x:c>
      <x:c r="M130" s="11" t="str">
        <x:v>Final spread</x:v>
      </x:c>
      <x:c r="N130" s="11" t="str">
        <x:v>https://www.artemis.bm/deal-directory/gateway-re-ltd-series-2026-2/</x:v>
      </x:c>
      <x:c r="O130" s="11" t="str">
        <x:v>Checked against Artemis page/search extract</x:v>
      </x:c>
      <x:c r="P130" s="11"/>
      <x:c r="Q130" s="11" t="str">
        <x:v>Yes</x:v>
      </x:c>
      <x:c r="R130" s="20" t="n">
        <x:f>IFERROR(L130/K130,"")</x:f>
        <x:v>2.268431001890359</x:v>
      </x:c>
    </x:row>
    <x:row r="131">
      <x:c r="A131" s="11" t="str">
        <x:v>Kilimanjaro III Re Ltd. (Series 2026-1)</x:v>
      </x:c>
      <x:c r="B131" s="11" t="str">
        <x:v>Kilimanjaro III Re Ltd.</x:v>
      </x:c>
      <x:c r="C131" s="11" t="str">
        <x:v>Everest Re</x:v>
      </x:c>
      <x:c r="D131" s="14" t="n">
        <x:v>2026</x:v>
      </x:c>
      <x:c r="E131" s="11" t="str">
        <x:v>Jun</x:v>
      </x:c>
      <x:c r="F131" s="11" t="str">
        <x:v>Class A</x:v>
      </x:c>
      <x:c r="G131" s="11" t="str">
        <x:v>U.S./Canada named storm and earthquake</x:v>
      </x:c>
      <x:c r="H131" s="11" t="str">
        <x:v>Industry loss index</x:v>
      </x:c>
      <x:c r="I131" s="11" t="str">
        <x:v>Annual aggregate</x:v>
      </x:c>
      <x:c r="J131" s="16"/>
      <x:c r="K131" s="18" t="n">
        <x:v>4.35</x:v>
      </x:c>
      <x:c r="L131" s="18" t="n">
        <x:v>8.25</x:v>
      </x:c>
      <x:c r="M131" s="11" t="str">
        <x:v>Initial guidance midpoint</x:v>
      </x:c>
      <x:c r="N131" s="11" t="str">
        <x:v>https://www.artemis.bm/deal-directory/kilimanjaro-iii-re-ltd-series-2026-1/</x:v>
      </x:c>
      <x:c r="O131" s="11" t="str">
        <x:v>Checked against Artemis page/search extract</x:v>
      </x:c>
      <x:c r="P131" s="11" t="str">
        <x:v>Pricing not final on captured Artemis text; midpoint of stated guidance.</x:v>
      </x:c>
      <x:c r="Q131" s="11" t="str">
        <x:v>Yes</x:v>
      </x:c>
      <x:c r="R131" s="20" t="n">
        <x:f>IFERROR(L131/K131,"")</x:f>
        <x:v>1.8965517241379313</x:v>
      </x:c>
    </x:row>
    <x:row r="132">
      <x:c r="A132" s="11" t="str">
        <x:v>Kilimanjaro III Re Ltd. (Series 2026-1)</x:v>
      </x:c>
      <x:c r="B132" s="11" t="str">
        <x:v>Kilimanjaro III Re Ltd.</x:v>
      </x:c>
      <x:c r="C132" s="11" t="str">
        <x:v>Everest Re</x:v>
      </x:c>
      <x:c r="D132" s="14" t="n">
        <x:v>2026</x:v>
      </x:c>
      <x:c r="E132" s="11" t="str">
        <x:v>Jun</x:v>
      </x:c>
      <x:c r="F132" s="11" t="str">
        <x:v>Class B</x:v>
      </x:c>
      <x:c r="G132" s="11" t="str">
        <x:v>U.S./Canada named storm and earthquake</x:v>
      </x:c>
      <x:c r="H132" s="11" t="str">
        <x:v>Industry loss index</x:v>
      </x:c>
      <x:c r="I132" s="11" t="str">
        <x:v>Annual aggregate</x:v>
      </x:c>
      <x:c r="J132" s="16"/>
      <x:c r="K132" s="18" t="n">
        <x:v>6.97</x:v>
      </x:c>
      <x:c r="L132" s="18" t="n">
        <x:v>12.5</x:v>
      </x:c>
      <x:c r="M132" s="11" t="str">
        <x:v>Initial guidance midpoint</x:v>
      </x:c>
      <x:c r="N132" s="11" t="str">
        <x:v>https://www.artemis.bm/deal-directory/kilimanjaro-iii-re-ltd-series-2026-1/</x:v>
      </x:c>
      <x:c r="O132" s="11" t="str">
        <x:v>Checked against Artemis page/search extract</x:v>
      </x:c>
      <x:c r="P132" s="11" t="str">
        <x:v>Pricing not final on captured Artemis text; midpoint of stated guidance.</x:v>
      </x:c>
      <x:c r="Q132" s="11" t="str">
        <x:v>Yes</x:v>
      </x:c>
      <x:c r="R132" s="20" t="n">
        <x:f>IFERROR(L132/K132,"")</x:f>
        <x:v>1.793400286944046</x:v>
      </x:c>
    </x:row>
    <x:row r="133">
      <x:c r="A133" s="11" t="str">
        <x:v>Kilimanjaro III Re Ltd. (Series 2026-1)</x:v>
      </x:c>
      <x:c r="B133" s="11" t="str">
        <x:v>Kilimanjaro III Re Ltd.</x:v>
      </x:c>
      <x:c r="C133" s="11" t="str">
        <x:v>Everest Re</x:v>
      </x:c>
      <x:c r="D133" s="14" t="n">
        <x:v>2026</x:v>
      </x:c>
      <x:c r="E133" s="11" t="str">
        <x:v>Jun</x:v>
      </x:c>
      <x:c r="F133" s="11" t="str">
        <x:v>Class C</x:v>
      </x:c>
      <x:c r="G133" s="11" t="str">
        <x:v>U.S./Canada named storm and earthquake</x:v>
      </x:c>
      <x:c r="H133" s="11" t="str">
        <x:v>Industry loss index</x:v>
      </x:c>
      <x:c r="I133" s="11" t="str">
        <x:v>Per-occurrence</x:v>
      </x:c>
      <x:c r="J133" s="16"/>
      <x:c r="K133" s="18" t="n">
        <x:v>5.53</x:v>
      </x:c>
      <x:c r="L133" s="18" t="n">
        <x:v>9.25</x:v>
      </x:c>
      <x:c r="M133" s="11" t="str">
        <x:v>Initial guidance midpoint</x:v>
      </x:c>
      <x:c r="N133" s="11" t="str">
        <x:v>https://www.artemis.bm/deal-directory/kilimanjaro-iii-re-ltd-series-2026-1/</x:v>
      </x:c>
      <x:c r="O133" s="11" t="str">
        <x:v>Checked against Artemis page/search extract</x:v>
      </x:c>
      <x:c r="P133" s="11" t="str">
        <x:v>Pricing not final on captured Artemis text; midpoint of stated guidance.</x:v>
      </x:c>
      <x:c r="Q133" s="11" t="str">
        <x:v>Yes</x:v>
      </x:c>
      <x:c r="R133" s="20" t="n">
        <x:f>IFERROR(L133/K133,"")</x:f>
        <x:v>1.6726943942133814</x:v>
      </x:c>
    </x:row>
    <x:row r="134">
      <x:c r="A134" s="11" t="str">
        <x:v>Kilimanjaro III Re Ltd. (Series 2026-1)</x:v>
      </x:c>
      <x:c r="B134" s="11" t="str">
        <x:v>Kilimanjaro III Re Ltd.</x:v>
      </x:c>
      <x:c r="C134" s="11" t="str">
        <x:v>Everest Re</x:v>
      </x:c>
      <x:c r="D134" s="14" t="n">
        <x:v>2026</x:v>
      </x:c>
      <x:c r="E134" s="11" t="str">
        <x:v>Jun</x:v>
      </x:c>
      <x:c r="F134" s="11" t="str">
        <x:v>Class D</x:v>
      </x:c>
      <x:c r="G134" s="11" t="str">
        <x:v>U.S./Canada named storm and earthquake</x:v>
      </x:c>
      <x:c r="H134" s="11" t="str">
        <x:v>Industry loss index</x:v>
      </x:c>
      <x:c r="I134" s="11" t="str">
        <x:v>Per-occurrence</x:v>
      </x:c>
      <x:c r="J134" s="16"/>
      <x:c r="K134" s="18" t="n">
        <x:v>7.38</x:v>
      </x:c>
      <x:c r="L134" s="18" t="n">
        <x:v>12.25</x:v>
      </x:c>
      <x:c r="M134" s="11" t="str">
        <x:v>Initial guidance midpoint</x:v>
      </x:c>
      <x:c r="N134" s="11" t="str">
        <x:v>https://www.artemis.bm/deal-directory/kilimanjaro-iii-re-ltd-series-2026-1/</x:v>
      </x:c>
      <x:c r="O134" s="11" t="str">
        <x:v>Checked against Artemis page/search extract</x:v>
      </x:c>
      <x:c r="P134" s="11" t="str">
        <x:v>Pricing not final on captured Artemis text; midpoint of stated guidance.</x:v>
      </x:c>
      <x:c r="Q134" s="11" t="str">
        <x:v>Yes</x:v>
      </x:c>
      <x:c r="R134" s="20" t="n">
        <x:f>IFERROR(L134/K134,"")</x:f>
        <x:v>1.6598915989159893</x:v>
      </x:c>
    </x:row>
    <x:row r="135">
      <x:c r="A135" s="11" t="str">
        <x:v>Kilimanjaro III Re Ltd. (Series 2026-2)</x:v>
      </x:c>
      <x:c r="B135" s="11" t="str">
        <x:v>Kilimanjaro III Re Ltd.</x:v>
      </x:c>
      <x:c r="C135" s="11" t="str">
        <x:v>Everest Re</x:v>
      </x:c>
      <x:c r="D135" s="14" t="n">
        <x:v>2026</x:v>
      </x:c>
      <x:c r="E135" s="11" t="str">
        <x:v>Jun</x:v>
      </x:c>
      <x:c r="F135" s="11" t="str">
        <x:v>Class A</x:v>
      </x:c>
      <x:c r="G135" s="11" t="str">
        <x:v>U.S./Canada named storm and earthquake</x:v>
      </x:c>
      <x:c r="H135" s="11" t="str">
        <x:v>Industry loss index</x:v>
      </x:c>
      <x:c r="I135" s="11" t="str">
        <x:v>Annual aggregate</x:v>
      </x:c>
      <x:c r="J135" s="16"/>
      <x:c r="K135" s="18" t="n">
        <x:v>4.35</x:v>
      </x:c>
      <x:c r="L135" s="18" t="n">
        <x:v>8.25</x:v>
      </x:c>
      <x:c r="M135" s="11" t="str">
        <x:v>Initial guidance midpoint</x:v>
      </x:c>
      <x:c r="N135" s="11" t="str">
        <x:v>https://www.artemis.bm/deal-directory/kilimanjaro-iii-re-ltd-series-2026-2/</x:v>
      </x:c>
      <x:c r="O135" s="11" t="str">
        <x:v>Checked against Artemis page/search extract</x:v>
      </x:c>
      <x:c r="P135" s="11" t="str">
        <x:v>Pricing not final on captured Artemis text; midpoint of stated guidance.</x:v>
      </x:c>
      <x:c r="Q135" s="11" t="str">
        <x:v>Yes</x:v>
      </x:c>
      <x:c r="R135" s="20" t="n">
        <x:f>IFERROR(L135/K135,"")</x:f>
        <x:v>1.8965517241379313</x:v>
      </x:c>
    </x:row>
    <x:row r="136">
      <x:c r="A136" s="11" t="str">
        <x:v>Kilimanjaro III Re Ltd. (Series 2026-2)</x:v>
      </x:c>
      <x:c r="B136" s="11" t="str">
        <x:v>Kilimanjaro III Re Ltd.</x:v>
      </x:c>
      <x:c r="C136" s="11" t="str">
        <x:v>Everest Re</x:v>
      </x:c>
      <x:c r="D136" s="14" t="n">
        <x:v>2026</x:v>
      </x:c>
      <x:c r="E136" s="11" t="str">
        <x:v>Jun</x:v>
      </x:c>
      <x:c r="F136" s="11" t="str">
        <x:v>Class B</x:v>
      </x:c>
      <x:c r="G136" s="11" t="str">
        <x:v>U.S./Canada named storm and earthquake</x:v>
      </x:c>
      <x:c r="H136" s="11" t="str">
        <x:v>Industry loss index</x:v>
      </x:c>
      <x:c r="I136" s="11" t="str">
        <x:v>Annual aggregate</x:v>
      </x:c>
      <x:c r="J136" s="16"/>
      <x:c r="K136" s="18" t="n">
        <x:v>6.97</x:v>
      </x:c>
      <x:c r="L136" s="18" t="n">
        <x:v>12.5</x:v>
      </x:c>
      <x:c r="M136" s="11" t="str">
        <x:v>Initial guidance midpoint</x:v>
      </x:c>
      <x:c r="N136" s="11" t="str">
        <x:v>https://www.artemis.bm/deal-directory/kilimanjaro-iii-re-ltd-series-2026-2/</x:v>
      </x:c>
      <x:c r="O136" s="11" t="str">
        <x:v>Checked against Artemis page/search extract</x:v>
      </x:c>
      <x:c r="P136" s="11" t="str">
        <x:v>Pricing not final on captured Artemis text; midpoint of stated guidance.</x:v>
      </x:c>
      <x:c r="Q136" s="11" t="str">
        <x:v>Yes</x:v>
      </x:c>
      <x:c r="R136" s="20" t="n">
        <x:f>IFERROR(L136/K136,"")</x:f>
        <x:v>1.793400286944046</x:v>
      </x:c>
    </x:row>
    <x:row r="137">
      <x:c r="A137" s="11" t="str">
        <x:v>Kilimanjaro III Re Ltd. (Series 2026-2)</x:v>
      </x:c>
      <x:c r="B137" s="11" t="str">
        <x:v>Kilimanjaro III Re Ltd.</x:v>
      </x:c>
      <x:c r="C137" s="11" t="str">
        <x:v>Everest Re</x:v>
      </x:c>
      <x:c r="D137" s="14" t="n">
        <x:v>2026</x:v>
      </x:c>
      <x:c r="E137" s="11" t="str">
        <x:v>Jun</x:v>
      </x:c>
      <x:c r="F137" s="11" t="str">
        <x:v>Class C</x:v>
      </x:c>
      <x:c r="G137" s="11" t="str">
        <x:v>U.S./Canada named storm and earthquake</x:v>
      </x:c>
      <x:c r="H137" s="11" t="str">
        <x:v>Industry loss index</x:v>
      </x:c>
      <x:c r="I137" s="11" t="str">
        <x:v>Per-occurrence</x:v>
      </x:c>
      <x:c r="J137" s="16"/>
      <x:c r="K137" s="18" t="n">
        <x:v>5.53</x:v>
      </x:c>
      <x:c r="L137" s="18" t="n">
        <x:v>9.25</x:v>
      </x:c>
      <x:c r="M137" s="11" t="str">
        <x:v>Initial guidance midpoint</x:v>
      </x:c>
      <x:c r="N137" s="11" t="str">
        <x:v>https://www.artemis.bm/deal-directory/kilimanjaro-iii-re-ltd-series-2026-2/</x:v>
      </x:c>
      <x:c r="O137" s="11" t="str">
        <x:v>Checked against Artemis page/search extract</x:v>
      </x:c>
      <x:c r="P137" s="11" t="str">
        <x:v>Pricing not final on captured Artemis text; midpoint of stated guidance.</x:v>
      </x:c>
      <x:c r="Q137" s="11" t="str">
        <x:v>Yes</x:v>
      </x:c>
      <x:c r="R137" s="20" t="n">
        <x:f>IFERROR(L137/K137,"")</x:f>
        <x:v>1.6726943942133814</x:v>
      </x:c>
    </x:row>
    <x:row r="138">
      <x:c r="A138" s="11" t="str">
        <x:v>Kilimanjaro III Re Ltd. (Series 2026-2)</x:v>
      </x:c>
      <x:c r="B138" s="11" t="str">
        <x:v>Kilimanjaro III Re Ltd.</x:v>
      </x:c>
      <x:c r="C138" s="11" t="str">
        <x:v>Everest Re</x:v>
      </x:c>
      <x:c r="D138" s="14" t="n">
        <x:v>2026</x:v>
      </x:c>
      <x:c r="E138" s="11" t="str">
        <x:v>Jun</x:v>
      </x:c>
      <x:c r="F138" s="11" t="str">
        <x:v>Class D</x:v>
      </x:c>
      <x:c r="G138" s="11" t="str">
        <x:v>U.S./Canada named storm and earthquake</x:v>
      </x:c>
      <x:c r="H138" s="11" t="str">
        <x:v>Industry loss index</x:v>
      </x:c>
      <x:c r="I138" s="11" t="str">
        <x:v>Per-occurrence</x:v>
      </x:c>
      <x:c r="J138" s="16"/>
      <x:c r="K138" s="18" t="n">
        <x:v>7.38</x:v>
      </x:c>
      <x:c r="L138" s="18" t="n">
        <x:v>12.25</x:v>
      </x:c>
      <x:c r="M138" s="11" t="str">
        <x:v>Initial guidance midpoint</x:v>
      </x:c>
      <x:c r="N138" s="11" t="str">
        <x:v>https://www.artemis.bm/deal-directory/kilimanjaro-iii-re-ltd-series-2026-2/</x:v>
      </x:c>
      <x:c r="O138" s="11" t="str">
        <x:v>Checked against Artemis page/search extract</x:v>
      </x:c>
      <x:c r="P138" s="11" t="str">
        <x:v>Pricing not final on captured Artemis text; midpoint of stated guidance.</x:v>
      </x:c>
      <x:c r="Q138" s="11" t="str">
        <x:v>Yes</x:v>
      </x:c>
      <x:c r="R138" s="20" t="n">
        <x:f>IFERROR(L138/K138,"")</x:f>
        <x:v>1.6598915989159893</x:v>
      </x:c>
    </x:row>
    <x:row r="139">
      <x:c r="A139" s="11" t="str">
        <x:v>Locke Tavern Re Ltd. (Series 2026-1)</x:v>
      </x:c>
      <x:c r="B139" s="11" t="str">
        <x:v>Locke Tavern Re Ltd.</x:v>
      </x:c>
      <x:c r="C139" s="11" t="str">
        <x:v>The Andover Companies</x:v>
      </x:c>
      <x:c r="D139" s="14" t="n">
        <x:v>2026</x:v>
      </x:c>
      <x:c r="E139" s="11" t="str">
        <x:v>Mar</x:v>
      </x:c>
      <x:c r="F139" s="11" t="str">
        <x:v>Class A</x:v>
      </x:c>
      <x:c r="G139" s="11" t="str">
        <x:v>Northeast US named storm, severe thunderstorm, winter storm, earthquake</x:v>
      </x:c>
      <x:c r="H139" s="11" t="str">
        <x:v>Indemnity</x:v>
      </x:c>
      <x:c r="I139" s="11" t="str">
        <x:v>Occurrence</x:v>
      </x:c>
      <x:c r="J139" s="16" t="n">
        <x:v>125</x:v>
      </x:c>
      <x:c r="K139" s="18" t="n">
        <x:v>1.302</x:v>
      </x:c>
      <x:c r="L139" s="18" t="n">
        <x:v>3.25</x:v>
      </x:c>
      <x:c r="M139" s="11" t="str">
        <x:v>Final spread</x:v>
      </x:c>
      <x:c r="N139" s="11" t="str">
        <x:v>https://www.artemis.bm/deal-directory/locke-tavern-re-ltd-series-2026-1/</x:v>
      </x:c>
      <x:c r="O139" s="11" t="str">
        <x:v>Checked against Artemis page/search extract</x:v>
      </x:c>
      <x:c r="P139" s="11"/>
      <x:c r="Q139" s="11" t="str">
        <x:v>Yes</x:v>
      </x:c>
      <x:c r="R139" s="20" t="n">
        <x:f>IFERROR(L139/K139,"")</x:f>
        <x:v>2.49615975422427</x:v>
      </x:c>
    </x:row>
    <x:row r="140">
      <x:c r="A140" s="11" t="str">
        <x:v>Locke Tavern Re Ltd. (Series 2026-1)</x:v>
      </x:c>
      <x:c r="B140" s="11" t="str">
        <x:v>Locke Tavern Re Ltd.</x:v>
      </x:c>
      <x:c r="C140" s="11" t="str">
        <x:v>The Andover Companies</x:v>
      </x:c>
      <x:c r="D140" s="14" t="n">
        <x:v>2026</x:v>
      </x:c>
      <x:c r="E140" s="11" t="str">
        <x:v>Mar</x:v>
      </x:c>
      <x:c r="F140" s="11" t="str">
        <x:v>Class B</x:v>
      </x:c>
      <x:c r="G140" s="11" t="str">
        <x:v>Northeast US named storm, severe thunderstorm, winter storm, earthquake</x:v>
      </x:c>
      <x:c r="H140" s="11" t="str">
        <x:v>Indemnity</x:v>
      </x:c>
      <x:c r="I140" s="11" t="str">
        <x:v>Occurrence</x:v>
      </x:c>
      <x:c r="J140" s="16" t="n">
        <x:v>125</x:v>
      </x:c>
      <x:c r="K140" s="18" t="n">
        <x:v>1.96</x:v>
      </x:c>
      <x:c r="L140" s="18" t="n">
        <x:v>4.25</x:v>
      </x:c>
      <x:c r="M140" s="11" t="str">
        <x:v>Final spread</x:v>
      </x:c>
      <x:c r="N140" s="11" t="str">
        <x:v>https://www.artemis.bm/deal-directory/locke-tavern-re-ltd-series-2026-1/</x:v>
      </x:c>
      <x:c r="O140" s="11" t="str">
        <x:v>Checked against Artemis page/search extract</x:v>
      </x:c>
      <x:c r="P140" s="11"/>
      <x:c r="Q140" s="11" t="str">
        <x:v>Yes</x:v>
      </x:c>
      <x:c r="R140" s="20" t="n">
        <x:f>IFERROR(L140/K140,"")</x:f>
        <x:v>2.1683673469387754</x:v>
      </x:c>
    </x:row>
    <x:row r="141">
      <x:c r="A141" s="11" t="str">
        <x:v>Lower Ferry Re Ltd. (Series 2026-1)</x:v>
      </x:c>
      <x:c r="B141" s="11" t="str">
        <x:v>Lower Ferry Re Ltd.</x:v>
      </x:c>
      <x:c r="C141" s="11" t="str">
        <x:v>NJM Insurance</x:v>
      </x:c>
      <x:c r="D141" s="14" t="n">
        <x:v>2026</x:v>
      </x:c>
      <x:c r="E141" s="11" t="str">
        <x:v>Jun</x:v>
      </x:c>
      <x:c r="F141" s="11" t="str">
        <x:v>Class A</x:v>
      </x:c>
      <x:c r="G141" s="11" t="str">
        <x:v>US named storm</x:v>
      </x:c>
      <x:c r="H141" s="11" t="str">
        <x:v>Indemnity</x:v>
      </x:c>
      <x:c r="I141" s="11" t="str">
        <x:v>Per-occurrence</x:v>
      </x:c>
      <x:c r="J141" s="16" t="n">
        <x:v>70</x:v>
      </x:c>
      <x:c r="K141" s="18" t="n">
        <x:v>1.18</x:v>
      </x:c>
      <x:c r="L141" s="18" t="n">
        <x:v>2.75</x:v>
      </x:c>
      <x:c r="M141" s="11" t="str">
        <x:v>Final spread</x:v>
      </x:c>
      <x:c r="N141" s="11" t="str">
        <x:v>https://www.artemis.bm/deal-directory/lower-ferry-re-ltd-series-2026-1/</x:v>
      </x:c>
      <x:c r="O141" s="11" t="str">
        <x:v>Checked against Artemis page/search extract</x:v>
      </x:c>
      <x:c r="P141" s="11"/>
      <x:c r="Q141" s="11" t="str">
        <x:v>Yes</x:v>
      </x:c>
      <x:c r="R141" s="20" t="n">
        <x:f>IFERROR(L141/K141,"")</x:f>
        <x:v>2.330508474576271</x:v>
      </x:c>
    </x:row>
    <x:row r="142">
      <x:c r="A142" s="11" t="str">
        <x:v>Lower Ferry Re Ltd. (Series 2026-1)</x:v>
      </x:c>
      <x:c r="B142" s="11" t="str">
        <x:v>Lower Ferry Re Ltd.</x:v>
      </x:c>
      <x:c r="C142" s="11" t="str">
        <x:v>NJM Insurance</x:v>
      </x:c>
      <x:c r="D142" s="14" t="n">
        <x:v>2026</x:v>
      </x:c>
      <x:c r="E142" s="11" t="str">
        <x:v>Jun</x:v>
      </x:c>
      <x:c r="F142" s="11" t="str">
        <x:v>Class B</x:v>
      </x:c>
      <x:c r="G142" s="11" t="str">
        <x:v>US named storm</x:v>
      </x:c>
      <x:c r="H142" s="11" t="str">
        <x:v>Indemnity</x:v>
      </x:c>
      <x:c r="I142" s="11" t="str">
        <x:v>Per-occurrence</x:v>
      </x:c>
      <x:c r="J142" s="16" t="n">
        <x:v>55</x:v>
      </x:c>
      <x:c r="K142" s="18" t="n">
        <x:v>1.49</x:v>
      </x:c>
      <x:c r="L142" s="18" t="n">
        <x:v>3</x:v>
      </x:c>
      <x:c r="M142" s="11" t="str">
        <x:v>Final spread</x:v>
      </x:c>
      <x:c r="N142" s="11" t="str">
        <x:v>https://www.artemis.bm/deal-directory/lower-ferry-re-ltd-series-2026-1/</x:v>
      </x:c>
      <x:c r="O142" s="11" t="str">
        <x:v>Checked against Artemis page/search extract</x:v>
      </x:c>
      <x:c r="P142" s="11"/>
      <x:c r="Q142" s="11" t="str">
        <x:v>Yes</x:v>
      </x:c>
      <x:c r="R142" s="20" t="n">
        <x:f>IFERROR(L142/K142,"")</x:f>
        <x:v>2.0134228187919465</x:v>
      </x:c>
    </x:row>
    <x:row r="143">
      <x:c r="A143" s="11" t="str">
        <x:v>Lower Ferry Re Ltd. (Series 2026-1)</x:v>
      </x:c>
      <x:c r="B143" s="11" t="str">
        <x:v>Lower Ferry Re Ltd.</x:v>
      </x:c>
      <x:c r="C143" s="11" t="str">
        <x:v>NJM Insurance</x:v>
      </x:c>
      <x:c r="D143" s="14" t="n">
        <x:v>2026</x:v>
      </x:c>
      <x:c r="E143" s="11" t="str">
        <x:v>Jun</x:v>
      </x:c>
      <x:c r="F143" s="11" t="str">
        <x:v>Class C</x:v>
      </x:c>
      <x:c r="G143" s="11" t="str">
        <x:v>US named storm</x:v>
      </x:c>
      <x:c r="H143" s="11" t="str">
        <x:v>Indemnity</x:v>
      </x:c>
      <x:c r="I143" s="11" t="str">
        <x:v>Per-occurrence</x:v>
      </x:c>
      <x:c r="J143" s="16" t="n">
        <x:v>125</x:v>
      </x:c>
      <x:c r="K143" s="18" t="n">
        <x:v>2</x:v>
      </x:c>
      <x:c r="L143" s="18" t="n">
        <x:v>4</x:v>
      </x:c>
      <x:c r="M143" s="11" t="str">
        <x:v>Final spread</x:v>
      </x:c>
      <x:c r="N143" s="11" t="str">
        <x:v>https://www.artemis.bm/deal-directory/lower-ferry-re-ltd-series-2026-1/</x:v>
      </x:c>
      <x:c r="O143" s="11" t="str">
        <x:v>Checked against Artemis page/search extract</x:v>
      </x:c>
      <x:c r="P143" s="11"/>
      <x:c r="Q143" s="11" t="str">
        <x:v>Yes</x:v>
      </x:c>
      <x:c r="R143" s="20" t="n">
        <x:f>IFERROR(L143/K143,"")</x:f>
        <x:v>2</x:v>
      </x:c>
    </x:row>
    <x:row r="144">
      <x:c r="A144" s="11" t="str">
        <x:v>Recoletos Re DAC (Series 2026-1)</x:v>
      </x:c>
      <x:c r="B144" s="11" t="str">
        <x:v>Recoletos Re DAC</x:v>
      </x:c>
      <x:c r="C144" s="11" t="str">
        <x:v>Mapfre Re</x:v>
      </x:c>
      <x:c r="D144" s="14" t="n">
        <x:v>2026</x:v>
      </x:c>
      <x:c r="E144" s="11" t="str">
        <x:v>May</x:v>
      </x:c>
      <x:c r="F144" s="11" t="str">
        <x:v>Class A</x:v>
      </x:c>
      <x:c r="G144" s="11" t="str">
        <x:v>US named storm (excl. Florida)</x:v>
      </x:c>
      <x:c r="H144" s="11" t="str">
        <x:v>Indemnity</x:v>
      </x:c>
      <x:c r="I144" s="11" t="str">
        <x:v>Occurrence</x:v>
      </x:c>
      <x:c r="J144" s="16" t="n">
        <x:v>200</x:v>
      </x:c>
      <x:c r="K144" s="18" t="n">
        <x:v>1.836</x:v>
      </x:c>
      <x:c r="L144" s="18" t="n">
        <x:v>4.25</x:v>
      </x:c>
      <x:c r="M144" s="11" t="str">
        <x:v>Updated guidance / low end</x:v>
      </x:c>
      <x:c r="N144" s="11" t="str">
        <x:v>https://www.artemis.bm/deal-directory/recoletos-re-dac-series-2026-1/</x:v>
      </x:c>
      <x:c r="O144" s="11" t="str">
        <x:v>Checked against Artemis page/search extract</x:v>
      </x:c>
      <x:c r="P144" s="11"/>
      <x:c r="Q144" s="11" t="str">
        <x:v>Yes</x:v>
      </x:c>
      <x:c r="R144" s="20" t="n">
        <x:f>IFERROR(L144/K144,"")</x:f>
        <x:v>2.314814814814815</x:v>
      </x:c>
    </x:row>
    <x:row r="145">
      <x:c r="A145" s="11" t="str">
        <x:v>Residential Reinsurance 2026 Limited (Series 2026-1)</x:v>
      </x:c>
      <x:c r="B145" s="11" t="str">
        <x:v>Residential Reinsurance 2026 Limited</x:v>
      </x:c>
      <x:c r="C145" s="11" t="str">
        <x:v>USAA</x:v>
      </x:c>
      <x:c r="D145" s="14" t="n">
        <x:v>2026</x:v>
      </x:c>
      <x:c r="E145" s="11" t="str">
        <x:v>May</x:v>
      </x:c>
      <x:c r="F145" s="11" t="str">
        <x:v>Class 14</x:v>
      </x:c>
      <x:c r="G145" s="11" t="str">
        <x:v>U.S. multi-peril / Florida named storm</x:v>
      </x:c>
      <x:c r="H145" s="11" t="str">
        <x:v>Indemnity</x:v>
      </x:c>
      <x:c r="I145" s="11" t="str">
        <x:v>Annual aggregate</x:v>
      </x:c>
      <x:c r="J145" s="16" t="n">
        <x:v>150</x:v>
      </x:c>
      <x:c r="K145" s="18" t="n">
        <x:v>6.1</x:v>
      </x:c>
      <x:c r="L145" s="18" t="n">
        <x:v>6.5</x:v>
      </x:c>
      <x:c r="M145" s="11" t="str">
        <x:v>Final spread for Class 14; initial guidance midpoint for others</x:v>
      </x:c>
      <x:c r="N145" s="11" t="str">
        <x:v>https://www.artemis.bm/deal-directory/residential-reinsurance-2026-limited-series-2026-1/</x:v>
      </x:c>
      <x:c r="O145" s="11" t="str">
        <x:v>Checked against Artemis page/search extract</x:v>
      </x:c>
      <x:c r="P145" s="11" t="str">
        <x:v>Spread basis varies by tranche; see spread_basis.</x:v>
      </x:c>
      <x:c r="Q145" s="11" t="str">
        <x:v>Yes</x:v>
      </x:c>
      <x:c r="R145" s="20" t="n">
        <x:f>IFERROR(L145/K145,"")</x:f>
        <x:v>1.0655737704918034</x:v>
      </x:c>
    </x:row>
    <x:row r="146">
      <x:c r="A146" s="11" t="str">
        <x:v>Residential Reinsurance 2026 Limited (Series 2026-1)</x:v>
      </x:c>
      <x:c r="B146" s="11" t="str">
        <x:v>Residential Reinsurance 2026 Limited</x:v>
      </x:c>
      <x:c r="C146" s="11" t="str">
        <x:v>USAA</x:v>
      </x:c>
      <x:c r="D146" s="14" t="n">
        <x:v>2026</x:v>
      </x:c>
      <x:c r="E146" s="11" t="str">
        <x:v>May</x:v>
      </x:c>
      <x:c r="F146" s="11" t="str">
        <x:v>Class 15</x:v>
      </x:c>
      <x:c r="G146" s="11" t="str">
        <x:v>U.S. multi-peril / Florida named storm</x:v>
      </x:c>
      <x:c r="H146" s="11" t="str">
        <x:v>Indemnity</x:v>
      </x:c>
      <x:c r="I146" s="11" t="str">
        <x:v>Annual aggregate</x:v>
      </x:c>
      <x:c r="J146" s="16" t="n">
        <x:v>150</x:v>
      </x:c>
      <x:c r="K146" s="18" t="n">
        <x:v>2.71</x:v>
      </x:c>
      <x:c r="L146" s="18" t="n">
        <x:v>5.125</x:v>
      </x:c>
      <x:c r="M146" s="11" t="str">
        <x:v>Final spread for Class 14; initial guidance midpoint for others</x:v>
      </x:c>
      <x:c r="N146" s="11" t="str">
        <x:v>https://www.artemis.bm/deal-directory/residential-reinsurance-2026-limited-series-2026-1/</x:v>
      </x:c>
      <x:c r="O146" s="11" t="str">
        <x:v>Checked against Artemis page/search extract</x:v>
      </x:c>
      <x:c r="P146" s="11" t="str">
        <x:v>Spread basis varies by tranche; see spread_basis.</x:v>
      </x:c>
      <x:c r="Q146" s="11" t="str">
        <x:v>Yes</x:v>
      </x:c>
      <x:c r="R146" s="20" t="n">
        <x:f>IFERROR(L146/K146,"")</x:f>
        <x:v>1.8911439114391144</x:v>
      </x:c>
    </x:row>
    <x:row r="147">
      <x:c r="A147" s="11" t="str">
        <x:v>Residential Reinsurance 2026 Limited (Series 2026-1)</x:v>
      </x:c>
      <x:c r="B147" s="11" t="str">
        <x:v>Residential Reinsurance 2026 Limited</x:v>
      </x:c>
      <x:c r="C147" s="11" t="str">
        <x:v>USAA</x:v>
      </x:c>
      <x:c r="D147" s="14" t="n">
        <x:v>2026</x:v>
      </x:c>
      <x:c r="E147" s="11" t="str">
        <x:v>May</x:v>
      </x:c>
      <x:c r="F147" s="11" t="str">
        <x:v>Class A</x:v>
      </x:c>
      <x:c r="G147" s="11" t="str">
        <x:v>U.S. multi-peril / Florida named storm</x:v>
      </x:c>
      <x:c r="H147" s="11" t="str">
        <x:v>Indemnity</x:v>
      </x:c>
      <x:c r="I147" s="11" t="str">
        <x:v>Florida occurrence</x:v>
      </x:c>
      <x:c r="J147" s="16" t="n">
        <x:v>500</x:v>
      </x:c>
      <x:c r="K147" s="18" t="n">
        <x:v>2.51</x:v>
      </x:c>
      <x:c r="L147" s="18" t="n">
        <x:v>7.375</x:v>
      </x:c>
      <x:c r="M147" s="11" t="str">
        <x:v>Final spread for Class 14; initial guidance midpoint for others</x:v>
      </x:c>
      <x:c r="N147" s="11" t="str">
        <x:v>https://www.artemis.bm/deal-directory/residential-reinsurance-2026-limited-series-2026-1/</x:v>
      </x:c>
      <x:c r="O147" s="11" t="str">
        <x:v>Checked against Artemis page/search extract</x:v>
      </x:c>
      <x:c r="P147" s="11" t="str">
        <x:v>Spread basis varies by tranche; see spread_basis.</x:v>
      </x:c>
      <x:c r="Q147" s="11" t="str">
        <x:v>Yes</x:v>
      </x:c>
      <x:c r="R147" s="20" t="n">
        <x:f>IFERROR(L147/K147,"")</x:f>
        <x:v>2.9382470119521913</x:v>
      </x:c>
    </x:row>
    <x:row r="148">
      <x:c r="A148" s="11" t="str">
        <x:v>Solomon Re Ltd. (Series 2026-1)</x:v>
      </x:c>
      <x:c r="B148" s="11" t="str">
        <x:v>Solomon Re Ltd.</x:v>
      </x:c>
      <x:c r="C148" s="11" t="str">
        <x:v>Korean Re</x:v>
      </x:c>
      <x:c r="D148" s="14" t="n">
        <x:v>2026</x:v>
      </x:c>
      <x:c r="E148" s="11" t="str">
        <x:v>May</x:v>
      </x:c>
      <x:c r="F148" s="11" t="str">
        <x:v>Class A</x:v>
      </x:c>
      <x:c r="G148" s="11" t="str">
        <x:v>US named storm, US earthquake, Israel earthquake</x:v>
      </x:c>
      <x:c r="H148" s="11" t="str">
        <x:v>Indemnity</x:v>
      </x:c>
      <x:c r="I148" s="11" t="str">
        <x:v>Occurrence</x:v>
      </x:c>
      <x:c r="J148" s="16" t="n">
        <x:v>50</x:v>
      </x:c>
      <x:c r="K148" s="18" t="n">
        <x:v>1.91</x:v>
      </x:c>
      <x:c r="L148" s="18" t="n">
        <x:v>4.75</x:v>
      </x:c>
      <x:c r="M148" s="11" t="str">
        <x:v>Final spread</x:v>
      </x:c>
      <x:c r="N148" s="11" t="str">
        <x:v>https://www.artemis.bm/deal-directory/solomon-re-ltd-series-2026-1/</x:v>
      </x:c>
      <x:c r="O148" s="11" t="str">
        <x:v>Checked against Artemis page/search extract</x:v>
      </x:c>
      <x:c r="P148" s="11"/>
      <x:c r="Q148" s="11" t="str">
        <x:v>Yes</x:v>
      </x:c>
      <x:c r="R148" s="20" t="n">
        <x:f>IFERROR(L148/K148,"")</x:f>
        <x:v>2.486910994764398</x:v>
      </x:c>
    </x:row>
    <x:row r="149">
      <x:c r="A149" s="11" t="str">
        <x:v>Solomon Re Ltd. (Series 2026-1)</x:v>
      </x:c>
      <x:c r="B149" s="11" t="str">
        <x:v>Solomon Re Ltd.</x:v>
      </x:c>
      <x:c r="C149" s="11" t="str">
        <x:v>Korean Re</x:v>
      </x:c>
      <x:c r="D149" s="14" t="n">
        <x:v>2026</x:v>
      </x:c>
      <x:c r="E149" s="11" t="str">
        <x:v>May</x:v>
      </x:c>
      <x:c r="F149" s="11" t="str">
        <x:v>Class B</x:v>
      </x:c>
      <x:c r="G149" s="11" t="str">
        <x:v>US named storm and US earthquake</x:v>
      </x:c>
      <x:c r="H149" s="11" t="str">
        <x:v>Indemnity</x:v>
      </x:c>
      <x:c r="I149" s="11" t="str">
        <x:v>Occurrence</x:v>
      </x:c>
      <x:c r="J149" s="16" t="n">
        <x:v>25</x:v>
      </x:c>
      <x:c r="K149" s="18" t="n">
        <x:v>4.03</x:v>
      </x:c>
      <x:c r="L149" s="18" t="n">
        <x:v>7.75</x:v>
      </x:c>
      <x:c r="M149" s="11" t="str">
        <x:v>Final spread</x:v>
      </x:c>
      <x:c r="N149" s="11" t="str">
        <x:v>https://www.artemis.bm/deal-directory/solomon-re-ltd-series-2026-1/</x:v>
      </x:c>
      <x:c r="O149" s="11" t="str">
        <x:v>Checked against Artemis page/search extract</x:v>
      </x:c>
      <x:c r="P149" s="11"/>
      <x:c r="Q149" s="11" t="str">
        <x:v>Yes</x:v>
      </x:c>
      <x:c r="R149" s="20" t="n">
        <x:f>IFERROR(L149/K149,"")</x:f>
        <x:v>1.923076923076923</x:v>
      </x:c>
    </x:row>
    <x:row r="150">
      <x:c r="A150" s="11" t="str">
        <x:v>Sutter Re Ltd. (Series 2026-1)</x:v>
      </x:c>
      <x:c r="B150" s="11" t="str">
        <x:v>Sutter Re Ltd.</x:v>
      </x:c>
      <x:c r="C150" s="11" t="str">
        <x:v>California Earthquake Authority</x:v>
      </x:c>
      <x:c r="D150" s="14" t="n">
        <x:v>2026</x:v>
      </x:c>
      <x:c r="E150" s="11" t="str">
        <x:v>Jun</x:v>
      </x:c>
      <x:c r="F150" s="11" t="str">
        <x:v>Class C</x:v>
      </x:c>
      <x:c r="G150" s="11" t="str">
        <x:v>California earthquake</x:v>
      </x:c>
      <x:c r="H150" s="11" t="str">
        <x:v>Indemnity</x:v>
      </x:c>
      <x:c r="I150" s="11" t="str">
        <x:v>Annual aggregate</x:v>
      </x:c>
      <x:c r="J150" s="16" t="n">
        <x:v>325</x:v>
      </x:c>
      <x:c r="K150" s="18" t="n">
        <x:v>2.3</x:v>
      </x:c>
      <x:c r="L150" s="18" t="n">
        <x:v>3.5</x:v>
      </x:c>
      <x:c r="M150" s="11" t="str">
        <x:v>Final spread</x:v>
      </x:c>
      <x:c r="N150" s="11" t="str">
        <x:v>https://www.artemis.bm/deal-directory/sutter-re-ltd-series-2026-1/</x:v>
      </x:c>
      <x:c r="O150" s="11" t="str">
        <x:v>Checked against Artemis page/search extract</x:v>
      </x:c>
      <x:c r="P150" s="11"/>
      <x:c r="Q150" s="11" t="str">
        <x:v>Yes</x:v>
      </x:c>
      <x:c r="R150" s="20" t="n">
        <x:f>IFERROR(L150/K150,"")</x:f>
        <x:v>1.5217391304347827</x:v>
      </x:c>
    </x:row>
    <x:row r="151">
      <x:c r="A151" s="11" t="str">
        <x:v>Sutter Re Ltd. (Series 2026-1)</x:v>
      </x:c>
      <x:c r="B151" s="11" t="str">
        <x:v>Sutter Re Ltd.</x:v>
      </x:c>
      <x:c r="C151" s="11" t="str">
        <x:v>California Earthquake Authority</x:v>
      </x:c>
      <x:c r="D151" s="14" t="n">
        <x:v>2026</x:v>
      </x:c>
      <x:c r="E151" s="11" t="str">
        <x:v>Jun</x:v>
      </x:c>
      <x:c r="F151" s="11" t="str">
        <x:v>Class F</x:v>
      </x:c>
      <x:c r="G151" s="11" t="str">
        <x:v>California earthquake</x:v>
      </x:c>
      <x:c r="H151" s="11" t="str">
        <x:v>Indemnity</x:v>
      </x:c>
      <x:c r="I151" s="11" t="str">
        <x:v>Annual aggregate</x:v>
      </x:c>
      <x:c r="J151" s="16" t="n">
        <x:v>100</x:v>
      </x:c>
      <x:c r="K151" s="18" t="n">
        <x:v>4.05</x:v>
      </x:c>
      <x:c r="L151" s="18" t="n">
        <x:v>5.5</x:v>
      </x:c>
      <x:c r="M151" s="11" t="str">
        <x:v>Final spread</x:v>
      </x:c>
      <x:c r="N151" s="11" t="str">
        <x:v>https://www.artemis.bm/deal-directory/sutter-re-ltd-series-2026-1/</x:v>
      </x:c>
      <x:c r="O151" s="11" t="str">
        <x:v>Checked against Artemis page/search extract</x:v>
      </x:c>
      <x:c r="P151" s="11"/>
      <x:c r="Q151" s="11" t="str">
        <x:v>Yes</x:v>
      </x:c>
      <x:c r="R151" s="20" t="n">
        <x:f>IFERROR(L151/K151,"")</x:f>
        <x:v>1.3580246913580247</x:v>
      </x:c>
    </x:row>
    <x:row r="152">
      <x:c r="A152" s="11" t="str">
        <x:v>Torrey Pines Re Ltd. (Series 2026-1)</x:v>
      </x:c>
      <x:c r="B152" s="11" t="str">
        <x:v>Torrey Pines Re Ltd.</x:v>
      </x:c>
      <x:c r="C152" s="11" t="str">
        <x:v>Palomar Specialty Insurance Company</x:v>
      </x:c>
      <x:c r="D152" s="14" t="n">
        <x:v>2026</x:v>
      </x:c>
      <x:c r="E152" s="11" t="str">
        <x:v>May</x:v>
      </x:c>
      <x:c r="F152" s="11" t="str">
        <x:v>Class A</x:v>
      </x:c>
      <x:c r="G152" s="11" t="str">
        <x:v>California earthquake</x:v>
      </x:c>
      <x:c r="H152" s="11" t="str">
        <x:v>Indemnity</x:v>
      </x:c>
      <x:c r="I152" s="11" t="str">
        <x:v>Occurrence</x:v>
      </x:c>
      <x:c r="J152" s="16" t="n">
        <x:v>160</x:v>
      </x:c>
      <x:c r="K152" s="18" t="n">
        <x:v>1.19</x:v>
      </x:c>
      <x:c r="L152" s="18" t="n">
        <x:v>3</x:v>
      </x:c>
      <x:c r="M152" s="11" t="str">
        <x:v>Final spread</x:v>
      </x:c>
      <x:c r="N152" s="11" t="str">
        <x:v>https://www.artemis.bm/deal-directory/torrey-pines-re-ltd-series-2026-1/</x:v>
      </x:c>
      <x:c r="O152" s="11" t="str">
        <x:v>Checked against Artemis page/search extract</x:v>
      </x:c>
      <x:c r="P152" s="11"/>
      <x:c r="Q152" s="11" t="str">
        <x:v>Yes</x:v>
      </x:c>
      <x:c r="R152" s="20" t="n">
        <x:f>IFERROR(L152/K152,"")</x:f>
        <x:v>2.5210084033613445</x:v>
      </x:c>
    </x:row>
    <x:row r="153">
      <x:c r="A153" s="11" t="str">
        <x:v>Torrey Pines Re Ltd. (Series 2026-1)</x:v>
      </x:c>
      <x:c r="B153" s="11" t="str">
        <x:v>Torrey Pines Re Ltd.</x:v>
      </x:c>
      <x:c r="C153" s="11" t="str">
        <x:v>Palomar Specialty Insurance Company</x:v>
      </x:c>
      <x:c r="D153" s="14" t="n">
        <x:v>2026</x:v>
      </x:c>
      <x:c r="E153" s="11" t="str">
        <x:v>May</x:v>
      </x:c>
      <x:c r="F153" s="11" t="str">
        <x:v>Class B</x:v>
      </x:c>
      <x:c r="G153" s="11" t="str">
        <x:v>California earthquake</x:v>
      </x:c>
      <x:c r="H153" s="11" t="str">
        <x:v>Indemnity</x:v>
      </x:c>
      <x:c r="I153" s="11" t="str">
        <x:v>Occurrence</x:v>
      </x:c>
      <x:c r="J153" s="16" t="n">
        <x:v>100</x:v>
      </x:c>
      <x:c r="K153" s="18" t="n">
        <x:v>2.04</x:v>
      </x:c>
      <x:c r="L153" s="18" t="n">
        <x:v>3.75</x:v>
      </x:c>
      <x:c r="M153" s="11" t="str">
        <x:v>Updated guidance / low end</x:v>
      </x:c>
      <x:c r="N153" s="11" t="str">
        <x:v>https://www.artemis.bm/deal-directory/torrey-pines-re-ltd-series-2026-1/</x:v>
      </x:c>
      <x:c r="O153" s="11" t="str">
        <x:v>Checked against Artemis page/search extract</x:v>
      </x:c>
      <x:c r="P153" s="11"/>
      <x:c r="Q153" s="11" t="str">
        <x:v>Yes</x:v>
      </x:c>
      <x:c r="R153" s="20" t="n">
        <x:f>IFERROR(L153/K153,"")</x:f>
        <x:v>1.838235294117647</x:v>
      </x:c>
    </x:row>
    <x:row r="154">
      <x:c r="A154" s="11" t="str">
        <x:v>Torrey Pines Re Ltd. (Series 2026-1)</x:v>
      </x:c>
      <x:c r="B154" s="11" t="str">
        <x:v>Torrey Pines Re Ltd.</x:v>
      </x:c>
      <x:c r="C154" s="11" t="str">
        <x:v>Palomar Specialty Insurance Company</x:v>
      </x:c>
      <x:c r="D154" s="14" t="n">
        <x:v>2026</x:v>
      </x:c>
      <x:c r="E154" s="11" t="str">
        <x:v>May</x:v>
      </x:c>
      <x:c r="F154" s="11" t="str">
        <x:v>Class C</x:v>
      </x:c>
      <x:c r="G154" s="11" t="str">
        <x:v>California earthquake</x:v>
      </x:c>
      <x:c r="H154" s="11" t="str">
        <x:v>Indemnity</x:v>
      </x:c>
      <x:c r="I154" s="11" t="str">
        <x:v>Occurrence</x:v>
      </x:c>
      <x:c r="J154" s="16" t="n">
        <x:v>100</x:v>
      </x:c>
      <x:c r="K154" s="18" t="n">
        <x:v>4.03</x:v>
      </x:c>
      <x:c r="L154" s="18" t="n">
        <x:v>6.125</x:v>
      </x:c>
      <x:c r="M154" s="11" t="str">
        <x:v>Updated guidance midpoint</x:v>
      </x:c>
      <x:c r="N154" s="11" t="str">
        <x:v>https://www.artemis.bm/deal-directory/torrey-pines-re-ltd-series-2026-1/</x:v>
      </x:c>
      <x:c r="O154" s="11" t="str">
        <x:v>Checked against Artemis page/search extract</x:v>
      </x:c>
      <x:c r="P154" s="11"/>
      <x:c r="Q154" s="11" t="str">
        <x:v>Yes</x:v>
      </x:c>
      <x:c r="R154" s="20" t="n">
        <x:f>IFERROR(L154/K154,"")</x:f>
        <x:v>1.5198511166253101</x:v>
      </x:c>
    </x:row>
    <x:row r="155">
      <x:c r="A155" s="11" t="str">
        <x:v>Torrey Pines Re Ltd. (Series 2026-1)</x:v>
      </x:c>
      <x:c r="B155" s="11" t="str">
        <x:v>Torrey Pines Re Ltd.</x:v>
      </x:c>
      <x:c r="C155" s="11" t="str">
        <x:v>Palomar Specialty Insurance Company</x:v>
      </x:c>
      <x:c r="D155" s="14" t="n">
        <x:v>2026</x:v>
      </x:c>
      <x:c r="E155" s="11" t="str">
        <x:v>May</x:v>
      </x:c>
      <x:c r="F155" s="11" t="str">
        <x:v>Class D</x:v>
      </x:c>
      <x:c r="G155" s="11" t="str">
        <x:v>Hawaii named storm</x:v>
      </x:c>
      <x:c r="H155" s="11" t="str">
        <x:v>Indemnity</x:v>
      </x:c>
      <x:c r="I155" s="11" t="str">
        <x:v>Occurrence</x:v>
      </x:c>
      <x:c r="J155" s="16" t="n">
        <x:v>50</x:v>
      </x:c>
      <x:c r="K155" s="18" t="n">
        <x:v>0.96</x:v>
      </x:c>
      <x:c r="L155" s="18" t="n">
        <x:v>2.875</x:v>
      </x:c>
      <x:c r="M155" s="11" t="str">
        <x:v>Updated guidance midpoint</x:v>
      </x:c>
      <x:c r="N155" s="11" t="str">
        <x:v>https://www.artemis.bm/deal-directory/torrey-pines-re-ltd-series-2026-1/</x:v>
      </x:c>
      <x:c r="O155" s="11" t="str">
        <x:v>Checked against Artemis page/search extract</x:v>
      </x:c>
      <x:c r="P155" s="11"/>
      <x:c r="Q155" s="11" t="str">
        <x:v>Yes</x:v>
      </x:c>
      <x:c r="R155" s="20" t="n">
        <x:f>IFERROR(L155/K155,"")</x:f>
        <x:v>2.994791666666667</x:v>
      </x:c>
    </x:row>
    <x:row r="156">
      <x:c r="A156" s="11" t="str">
        <x:v>Winston Re Ltd. (Series 2026-1)</x:v>
      </x:c>
      <x:c r="B156" s="11" t="str">
        <x:v>Winston Re Ltd.</x:v>
      </x:c>
      <x:c r="C156" s="11" t="str">
        <x:v>Tower Hill Insurance Exchange</x:v>
      </x:c>
      <x:c r="D156" s="14" t="n">
        <x:v>2026</x:v>
      </x:c>
      <x:c r="E156" s="11" t="str">
        <x:v>Apr</x:v>
      </x:c>
      <x:c r="F156" s="11" t="str">
        <x:v>Class A</x:v>
      </x:c>
      <x:c r="G156" s="11" t="str">
        <x:v>Florida named storm</x:v>
      </x:c>
      <x:c r="H156" s="11" t="str">
        <x:v>Indemnity</x:v>
      </x:c>
      <x:c r="I156" s="11" t="str">
        <x:v>Occurrence / third-event for C</x:v>
      </x:c>
      <x:c r="J156" s="16" t="n">
        <x:v>150</x:v>
      </x:c>
      <x:c r="K156" s="18" t="n">
        <x:v>1.29</x:v>
      </x:c>
      <x:c r="L156" s="18" t="n">
        <x:v>4.75</x:v>
      </x:c>
      <x:c r="M156" s="11" t="str">
        <x:v>Final spread</x:v>
      </x:c>
      <x:c r="N156" s="11" t="str">
        <x:v>https://www.artemis.bm/deal-directory/winston-re-ltd-series-2026-1/</x:v>
      </x:c>
      <x:c r="O156" s="11" t="str">
        <x:v>Checked against Artemis page/search extract</x:v>
      </x:c>
      <x:c r="P156" s="11"/>
      <x:c r="Q156" s="11" t="str">
        <x:v>Yes</x:v>
      </x:c>
      <x:c r="R156" s="20" t="n">
        <x:f>IFERROR(L156/K156,"")</x:f>
        <x:v>3.682170542635659</x:v>
      </x:c>
    </x:row>
    <x:row r="157">
      <x:c r="A157" s="11" t="str">
        <x:v>Winston Re Ltd. (Series 2026-1)</x:v>
      </x:c>
      <x:c r="B157" s="11" t="str">
        <x:v>Winston Re Ltd.</x:v>
      </x:c>
      <x:c r="C157" s="11" t="str">
        <x:v>Tower Hill Insurance Exchange</x:v>
      </x:c>
      <x:c r="D157" s="14" t="n">
        <x:v>2026</x:v>
      </x:c>
      <x:c r="E157" s="11" t="str">
        <x:v>Apr</x:v>
      </x:c>
      <x:c r="F157" s="11" t="str">
        <x:v>Class B</x:v>
      </x:c>
      <x:c r="G157" s="11" t="str">
        <x:v>Florida named storm</x:v>
      </x:c>
      <x:c r="H157" s="11" t="str">
        <x:v>Indemnity</x:v>
      </x:c>
      <x:c r="I157" s="11" t="str">
        <x:v>Occurrence / third-event for C</x:v>
      </x:c>
      <x:c r="J157" s="16" t="n">
        <x:v>150</x:v>
      </x:c>
      <x:c r="K157" s="18" t="n">
        <x:v>1.59</x:v>
      </x:c>
      <x:c r="L157" s="18" t="n">
        <x:v>5.25</x:v>
      </x:c>
      <x:c r="M157" s="11" t="str">
        <x:v>Final spread</x:v>
      </x:c>
      <x:c r="N157" s="11" t="str">
        <x:v>https://www.artemis.bm/deal-directory/winston-re-ltd-series-2026-1/</x:v>
      </x:c>
      <x:c r="O157" s="11" t="str">
        <x:v>Checked against Artemis page/search extract</x:v>
      </x:c>
      <x:c r="P157" s="11"/>
      <x:c r="Q157" s="11" t="str">
        <x:v>Yes</x:v>
      </x:c>
      <x:c r="R157" s="20" t="n">
        <x:f>IFERROR(L157/K157,"")</x:f>
        <x:v>3.30188679245283</x:v>
      </x:c>
    </x:row>
    <x:row r="158">
      <x:c r="A158" s="11" t="str">
        <x:v>Winston Re Ltd. (Series 2026-1)</x:v>
      </x:c>
      <x:c r="B158" s="11" t="str">
        <x:v>Winston Re Ltd.</x:v>
      </x:c>
      <x:c r="C158" s="11" t="str">
        <x:v>Tower Hill Insurance Exchange</x:v>
      </x:c>
      <x:c r="D158" s="14" t="n">
        <x:v>2026</x:v>
      </x:c>
      <x:c r="E158" s="11" t="str">
        <x:v>Apr</x:v>
      </x:c>
      <x:c r="F158" s="11" t="str">
        <x:v>Class C</x:v>
      </x:c>
      <x:c r="G158" s="11" t="str">
        <x:v>Florida named storm</x:v>
      </x:c>
      <x:c r="H158" s="11" t="str">
        <x:v>Indemnity</x:v>
      </x:c>
      <x:c r="I158" s="11" t="str">
        <x:v>Occurrence / third-event for C</x:v>
      </x:c>
      <x:c r="J158" s="16" t="n">
        <x:v>75</x:v>
      </x:c>
      <x:c r="K158" s="18" t="n">
        <x:v>0.49</x:v>
      </x:c>
      <x:c r="L158" s="18" t="n">
        <x:v>6</x:v>
      </x:c>
      <x:c r="M158" s="11" t="str">
        <x:v>Final spread</x:v>
      </x:c>
      <x:c r="N158" s="11" t="str">
        <x:v>https://www.artemis.bm/deal-directory/winston-re-ltd-series-2026-1/</x:v>
      </x:c>
      <x:c r="O158" s="11" t="str">
        <x:v>Checked against Artemis page/search extract</x:v>
      </x:c>
      <x:c r="P158" s="11"/>
      <x:c r="Q158" s="11" t="str">
        <x:v>Yes</x:v>
      </x:c>
      <x:c r="R158" s="20" t="n">
        <x:f>IFERROR(L158/K158,"")</x:f>
        <x:v>12.244897959183673</x:v>
      </x:c>
    </x:row>
  </x:sheetData>
  <x:pageMargins left="0.7" right="0.7" top="0.75" bottom="0.75" header="0.3" footer="0.3"/>
  <x:tableParts count="1">
    <x:tablePart xmlns:r="http://schemas.openxmlformats.org/officeDocument/2006/relationships" r:id="R512ae414eaf34c3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6" customHeight="1">
      <x:c r="A1" s="3" t="str">
        <x:v>Metric</x:v>
      </x:c>
      <x:c r="B1" s="3" t="str">
        <x:v>Value</x:v>
      </x:c>
      <x:c r="D1" s="3" t="str">
        <x:v>issue_year</x:v>
      </x:c>
      <x:c r="E1" s="3" t="str">
        <x:v>n_rows</x:v>
      </x:c>
      <x:c r="F1" s="3" t="str">
        <x:v>n_regression_ready</x:v>
      </x:c>
      <x:c r="G1" s="3" t="str">
        <x:v>avg_expected_loss_pct</x:v>
      </x:c>
      <x:c r="H1" s="3" t="str">
        <x:v>avg_spread_pct</x:v>
      </x:c>
    </x:row>
    <x:row r="2">
      <x:c r="A2" t="str">
        <x:v>Observation unit</x:v>
      </x:c>
      <x:c r="B2" t="str">
        <x:v>Tranche/class</x:v>
      </x:c>
      <x:c r="D2" s="24" t="n">
        <x:v>2014</x:v>
      </x:c>
      <x:c r="E2" s="24" t="n">
        <x:f>COUNTIF(Data!$D$2:$D$158,D2)</x:f>
        <x:v>7</x:v>
      </x:c>
      <x:c r="F2" s="24" t="n">
        <x:f>COUNTIFS(Data!$D$2:$D$158,D2,Data!$Q$2:$Q$158,"Yes")</x:f>
        <x:v>7</x:v>
      </x:c>
      <x:c r="G2" s="22" t="str">
        <x:f>IFERROR(AVERAGEIFS(Data!$K$2:$K$158,Data!$D$2:$D$158,D2,Data!$Q$2:$Q$158,"Yes"),"")</x:f>
      </x:c>
      <x:c r="H2" s="22" t="n">
        <x:f>IFERROR(AVERAGEIFS(Data!$L$2:$L$158,Data!$D$2:$D$158,D2,Data!$Q$2:$Q$158,"Yes"),"")</x:f>
        <x:v>5.4071428571428575</x:v>
      </x:c>
    </x:row>
    <x:row r="3">
      <x:c r="A3" t="str">
        <x:v>Source</x:v>
      </x:c>
      <x:c r="B3" t="str">
        <x:v>Artemis Deal Directory only</x:v>
      </x:c>
      <x:c r="D3" s="24" t="n">
        <x:v>2015</x:v>
      </x:c>
      <x:c r="E3" s="24" t="n">
        <x:f>COUNTIF(Data!$D$2:$D$158,D3)</x:f>
        <x:v>4</x:v>
      </x:c>
      <x:c r="F3" s="24" t="n">
        <x:f>COUNTIFS(Data!$D$2:$D$158,D3,Data!$Q$2:$Q$158,"Yes")</x:f>
        <x:v>4</x:v>
      </x:c>
      <x:c r="G3" s="22" t="str">
        <x:f>IFERROR(AVERAGEIFS(Data!$K$2:$K$158,Data!$D$2:$D$158,D3,Data!$Q$2:$Q$158,"Yes"),"")</x:f>
      </x:c>
      <x:c r="H3" s="22" t="n">
        <x:f>IFERROR(AVERAGEIFS(Data!$L$2:$L$158,Data!$D$2:$D$158,D3,Data!$Q$2:$Q$158,"Yes"),"")</x:f>
        <x:v>3.75625</x:v>
      </x:c>
    </x:row>
    <x:row r="4">
      <x:c r="A4" t="str">
        <x:v>Total rows</x:v>
      </x:c>
      <x:c r="B4" t="n">
        <x:f>COUNTA(Data!A2:A158)</x:f>
        <x:v>157</x:v>
      </x:c>
      <x:c r="D4" s="24" t="n">
        <x:v>2016</x:v>
      </x:c>
      <x:c r="E4" s="24" t="n">
        <x:f>COUNTIF(Data!$D$2:$D$158,D4)</x:f>
        <x:v>9</x:v>
      </x:c>
      <x:c r="F4" s="24" t="n">
        <x:f>COUNTIFS(Data!$D$2:$D$158,D4,Data!$Q$2:$Q$158,"Yes")</x:f>
        <x:v>9</x:v>
      </x:c>
      <x:c r="G4" s="22" t="str">
        <x:f>IFERROR(AVERAGEIFS(Data!$K$2:$K$158,Data!$D$2:$D$158,D4,Data!$Q$2:$Q$158,"Yes"),"")</x:f>
      </x:c>
      <x:c r="H4" s="22" t="n">
        <x:f>IFERROR(AVERAGEIFS(Data!$L$2:$L$158,Data!$D$2:$D$158,D4,Data!$Q$2:$Q$158,"Yes"),"")</x:f>
        <x:v>5.875</x:v>
      </x:c>
    </x:row>
    <x:row r="5">
      <x:c r="A5" t="str">
        <x:v>Regression-ready rows</x:v>
      </x:c>
      <x:c r="B5" t="n">
        <x:f>COUNTIF(Data!Q2:Q158,"Yes")</x:f>
        <x:v>153</x:v>
      </x:c>
      <x:c r="D5" s="24" t="n">
        <x:v>2017</x:v>
      </x:c>
      <x:c r="E5" s="24" t="n">
        <x:f>COUNTIF(Data!$D$2:$D$158,D5)</x:f>
        <x:v>19</x:v>
      </x:c>
      <x:c r="F5" s="24" t="n">
        <x:f>COUNTIFS(Data!$D$2:$D$158,D5,Data!$Q$2:$Q$158,"Yes")</x:f>
        <x:v>19</x:v>
      </x:c>
      <x:c r="G5" s="22" t="str">
        <x:f>IFERROR(AVERAGEIFS(Data!$K$2:$K$158,Data!$D$2:$D$158,D5,Data!$Q$2:$Q$158,"Yes"),"")</x:f>
      </x:c>
      <x:c r="H5" s="22" t="n">
        <x:f>IFERROR(AVERAGEIFS(Data!$L$2:$L$158,Data!$D$2:$D$158,D5,Data!$Q$2:$Q$158,"Yes"),"")</x:f>
        <x:v>7.2631578947368425</x:v>
      </x:c>
    </x:row>
    <x:row r="6">
      <x:c r="A6" t="str">
        <x:v>Earliest issue year</x:v>
      </x:c>
      <x:c r="B6" t="n">
        <x:f>MIN(Data!D2:D158)</x:f>
        <x:v>2014</x:v>
      </x:c>
      <x:c r="D6" s="24" t="n">
        <x:v>2018</x:v>
      </x:c>
      <x:c r="E6" s="24" t="n">
        <x:f>COUNTIF(Data!$D$2:$D$158,D6)</x:f>
        <x:v>9</x:v>
      </x:c>
      <x:c r="F6" s="24" t="n">
        <x:f>COUNTIFS(Data!$D$2:$D$158,D6,Data!$Q$2:$Q$158,"Yes")</x:f>
        <x:v>9</x:v>
      </x:c>
      <x:c r="G6" s="22" t="str">
        <x:f>IFERROR(AVERAGEIFS(Data!$K$2:$K$158,Data!$D$2:$D$158,D6,Data!$Q$2:$Q$158,"Yes"),"")</x:f>
      </x:c>
      <x:c r="H6" s="22" t="n">
        <x:f>IFERROR(AVERAGEIFS(Data!$L$2:$L$158,Data!$D$2:$D$158,D6,Data!$Q$2:$Q$158,"Yes"),"")</x:f>
        <x:v>4.116666666666666</x:v>
      </x:c>
    </x:row>
    <x:row r="7">
      <x:c r="A7" t="str">
        <x:v>Latest issue year</x:v>
      </x:c>
      <x:c r="B7" t="n">
        <x:f>MAX(Data!D2:D158)</x:f>
        <x:v>2026</x:v>
      </x:c>
      <x:c r="D7" s="24" t="n">
        <x:v>2019</x:v>
      </x:c>
      <x:c r="E7" s="24" t="n">
        <x:f>COUNTIF(Data!$D$2:$D$158,D7)</x:f>
        <x:v>3</x:v>
      </x:c>
      <x:c r="F7" s="24" t="n">
        <x:f>COUNTIFS(Data!$D$2:$D$158,D7,Data!$Q$2:$Q$158,"Yes")</x:f>
        <x:v>3</x:v>
      </x:c>
      <x:c r="G7" s="22" t="str">
        <x:f>IFERROR(AVERAGEIFS(Data!$K$2:$K$158,Data!$D$2:$D$158,D7,Data!$Q$2:$Q$158,"Yes"),"")</x:f>
      </x:c>
      <x:c r="H7" s="22" t="n">
        <x:f>IFERROR(AVERAGEIFS(Data!$L$2:$L$158,Data!$D$2:$D$158,D7,Data!$Q$2:$Q$158,"Yes"),"")</x:f>
        <x:v>10.083333333333334</x:v>
      </x:c>
    </x:row>
    <x:row r="8">
      <x:c r="D8" s="24" t="n">
        <x:v>2020</x:v>
      </x:c>
      <x:c r="E8" s="24" t="n">
        <x:f>COUNTIF(Data!$D$2:$D$158,D8)</x:f>
        <x:v>6</x:v>
      </x:c>
      <x:c r="F8" s="24" t="n">
        <x:f>COUNTIFS(Data!$D$2:$D$158,D8,Data!$Q$2:$Q$158,"Yes")</x:f>
        <x:v>6</x:v>
      </x:c>
      <x:c r="G8" s="22" t="str">
        <x:f>IFERROR(AVERAGEIFS(Data!$K$2:$K$158,Data!$D$2:$D$158,D8,Data!$Q$2:$Q$158,"Yes"),"")</x:f>
      </x:c>
      <x:c r="H8" s="22" t="n">
        <x:f>IFERROR(AVERAGEIFS(Data!$L$2:$L$158,Data!$D$2:$D$158,D8,Data!$Q$2:$Q$158,"Yes"),"")</x:f>
        <x:v>8.416666666666666</x:v>
      </x:c>
    </x:row>
    <x:row r="9">
      <x:c r="D9" s="24" t="n">
        <x:v>2021</x:v>
      </x:c>
      <x:c r="E9" s="24" t="n">
        <x:f>COUNTIF(Data!$D$2:$D$158,D9)</x:f>
        <x:v>3</x:v>
      </x:c>
      <x:c r="F9" s="24" t="n">
        <x:f>COUNTIFS(Data!$D$2:$D$158,D9,Data!$Q$2:$Q$158,"Yes")</x:f>
        <x:v>2</x:v>
      </x:c>
      <x:c r="G9" s="22" t="str">
        <x:f>IFERROR(AVERAGEIFS(Data!$K$2:$K$158,Data!$D$2:$D$158,D9,Data!$Q$2:$Q$158,"Yes"),"")</x:f>
      </x:c>
      <x:c r="H9" s="22" t="n">
        <x:f>IFERROR(AVERAGEIFS(Data!$L$2:$L$158,Data!$D$2:$D$158,D9,Data!$Q$2:$Q$158,"Yes"),"")</x:f>
        <x:v>11.125</x:v>
      </x:c>
    </x:row>
    <x:row r="10">
      <x:c r="D10" s="24" t="n">
        <x:v>2022</x:v>
      </x:c>
      <x:c r="E10" s="24" t="n">
        <x:f>COUNTIF(Data!$D$2:$D$158,D10)</x:f>
        <x:v>4</x:v>
      </x:c>
      <x:c r="F10" s="24" t="n">
        <x:f>COUNTIFS(Data!$D$2:$D$158,D10,Data!$Q$2:$Q$158,"Yes")</x:f>
        <x:v>4</x:v>
      </x:c>
      <x:c r="G10" s="22" t="str">
        <x:f>IFERROR(AVERAGEIFS(Data!$K$2:$K$158,Data!$D$2:$D$158,D10,Data!$Q$2:$Q$158,"Yes"),"")</x:f>
      </x:c>
      <x:c r="H10" s="22" t="n">
        <x:f>IFERROR(AVERAGEIFS(Data!$L$2:$L$158,Data!$D$2:$D$158,D10,Data!$Q$2:$Q$158,"Yes"),"")</x:f>
        <x:v>9.125</x:v>
      </x:c>
    </x:row>
    <x:row r="11">
      <x:c r="D11" s="24" t="n">
        <x:v>2023</x:v>
      </x:c>
      <x:c r="E11" s="24" t="n">
        <x:f>COUNTIF(Data!$D$2:$D$158,D11)</x:f>
        <x:v>10</x:v>
      </x:c>
      <x:c r="F11" s="24" t="n">
        <x:f>COUNTIFS(Data!$D$2:$D$158,D11,Data!$Q$2:$Q$158,"Yes")</x:f>
        <x:v>9</x:v>
      </x:c>
      <x:c r="G11" s="22" t="str">
        <x:f>IFERROR(AVERAGEIFS(Data!$K$2:$K$158,Data!$D$2:$D$158,D11,Data!$Q$2:$Q$158,"Yes"),"")</x:f>
      </x:c>
      <x:c r="H11" s="22" t="n">
        <x:f>IFERROR(AVERAGEIFS(Data!$L$2:$L$158,Data!$D$2:$D$158,D11,Data!$Q$2:$Q$158,"Yes"),"")</x:f>
        <x:v>10.816666666666666</x:v>
      </x:c>
    </x:row>
    <x:row r="12">
      <x:c r="D12" s="24" t="n">
        <x:v>2024</x:v>
      </x:c>
      <x:c r="E12" s="24" t="n">
        <x:f>COUNTIF(Data!$D$2:$D$158,D12)</x:f>
        <x:v>8</x:v>
      </x:c>
      <x:c r="F12" s="24" t="n">
        <x:f>COUNTIFS(Data!$D$2:$D$158,D12,Data!$Q$2:$Q$158,"Yes")</x:f>
        <x:v>7</x:v>
      </x:c>
      <x:c r="G12" s="22" t="str">
        <x:f>IFERROR(AVERAGEIFS(Data!$K$2:$K$158,Data!$D$2:$D$158,D12,Data!$Q$2:$Q$158,"Yes"),"")</x:f>
      </x:c>
      <x:c r="H12" s="22" t="n">
        <x:f>IFERROR(AVERAGEIFS(Data!$L$2:$L$158,Data!$D$2:$D$158,D12,Data!$Q$2:$Q$158,"Yes"),"")</x:f>
        <x:v>8.321428571428571</x:v>
      </x:c>
    </x:row>
    <x:row r="13">
      <x:c r="D13" s="24" t="n">
        <x:v>2025</x:v>
      </x:c>
      <x:c r="E13" s="24" t="n">
        <x:f>COUNTIF(Data!$D$2:$D$158,D13)</x:f>
        <x:v>33</x:v>
      </x:c>
      <x:c r="F13" s="24" t="n">
        <x:f>COUNTIFS(Data!$D$2:$D$158,D13,Data!$Q$2:$Q$158,"Yes")</x:f>
        <x:v>32</x:v>
      </x:c>
      <x:c r="G13" s="22" t="str">
        <x:f>IFERROR(AVERAGEIFS(Data!$K$2:$K$158,Data!$D$2:$D$158,D13,Data!$Q$2:$Q$158,"Yes"),"")</x:f>
      </x:c>
      <x:c r="H13" s="22" t="n">
        <x:f>IFERROR(AVERAGEIFS(Data!$L$2:$L$158,Data!$D$2:$D$158,D13,Data!$Q$2:$Q$158,"Yes"),"")</x:f>
        <x:v>7.69140625</x:v>
      </x:c>
    </x:row>
    <x:row r="14">
      <x:c r="D14" s="24" t="n">
        <x:v>2026</x:v>
      </x:c>
      <x:c r="E14" s="24" t="n">
        <x:f>COUNTIF(Data!$D$2:$D$158,D14)</x:f>
        <x:v>42</x:v>
      </x:c>
      <x:c r="F14" s="24" t="n">
        <x:f>COUNTIFS(Data!$D$2:$D$158,D14,Data!$Q$2:$Q$158,"Yes")</x:f>
        <x:v>42</x:v>
      </x:c>
      <x:c r="G14" s="22" t="str">
        <x:f>IFERROR(AVERAGEIFS(Data!$K$2:$K$158,Data!$D$2:$D$158,D14,Data!$Q$2:$Q$158,"Yes"),"")</x:f>
      </x:c>
      <x:c r="H14" s="22" t="n">
        <x:f>IFERROR(AVERAGEIFS(Data!$L$2:$L$158,Data!$D$2:$D$158,D14,Data!$Q$2:$Q$158,"Yes"),"")</x:f>
        <x:v>6.663690476190476</x:v>
      </x:c>
    </x:row>
  </x:sheetData>
  <x:pageMargins left="0.7" right="0.7" top="0.75" bottom="0.75" header="0.3" footer="0.3"/>
  <x:tableParts count="1">
    <x:tablePart xmlns:r="http://schemas.openxmlformats.org/officeDocument/2006/relationships" r:id="Ra3472b8eb1a24db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60" hidden="0" customWidth="1"/>
  </x:cols>
  <x:sheetData>
    <x:row r="1" ht="26" customHeight="1">
      <x:c r="A1" s="26" t="str">
        <x:v>Column</x:v>
      </x:c>
      <x:c r="B1" s="26" t="str">
        <x:v>Meaning</x:v>
      </x:c>
      <x:c r="C1" s="26" t="str">
        <x:v>Notes</x:v>
      </x:c>
    </x:row>
    <x:row r="2">
      <x:c r="A2" s="11" t="str">
        <x:v>deal_name</x:v>
      </x:c>
      <x:c r="B2" s="11" t="str">
        <x:v>Artemis deal/page name</x:v>
      </x:c>
      <x:c r="C2" s="11" t="str">
        <x:v>Deal/series level identifier.</x:v>
      </x:c>
    </x:row>
    <x:row r="3">
      <x:c r="A3" s="11" t="str">
        <x:v>issuer</x:v>
      </x:c>
      <x:c r="B3" s="11" t="str">
        <x:v>Special purpose issuer</x:v>
      </x:c>
      <x:c r="C3" s="11" t="str">
        <x:v>Usually same as Artemis issuer field.</x:v>
      </x:c>
    </x:row>
    <x:row r="4">
      <x:c r="A4" s="11" t="str">
        <x:v>sponsor</x:v>
      </x:c>
      <x:c r="B4" s="11" t="str">
        <x:v>Cedent/sponsor</x:v>
      </x:c>
      <x:c r="C4" s="11" t="str">
        <x:v>As stated by Artemis where visible.</x:v>
      </x:c>
    </x:row>
    <x:row r="5">
      <x:c r="A5" s="11" t="str">
        <x:v>issue_year</x:v>
      </x:c>
      <x:c r="B5" s="11" t="str">
        <x:v>Issue year</x:v>
      </x:c>
      <x:c r="C5" s="11" t="str">
        <x:v>Numeric; used for year fixed effects or trend controls.</x:v>
      </x:c>
    </x:row>
    <x:row r="6">
      <x:c r="A6" s="11" t="str">
        <x:v>issue_month</x:v>
      </x:c>
      <x:c r="B6" s="11" t="str">
        <x:v>Issue month</x:v>
      </x:c>
      <x:c r="C6" s="11" t="str">
        <x:v>Text month from Artemis page.</x:v>
      </x:c>
    </x:row>
    <x:row r="7">
      <x:c r="A7" s="11" t="str">
        <x:v>tranche_class</x:v>
      </x:c>
      <x:c r="B7" s="11" t="str">
        <x:v>Class/tranche identifier</x:v>
      </x:c>
      <x:c r="C7" s="11" t="str">
        <x:v>Observation unit = tranche/class.</x:v>
      </x:c>
    </x:row>
    <x:row r="8">
      <x:c r="A8" s="11" t="str">
        <x:v>peril_type</x:v>
      </x:c>
      <x:c r="B8" s="11" t="str">
        <x:v>Risk/peril coverage</x:v>
      </x:c>
      <x:c r="C8" s="11" t="str">
        <x:v>Kept as text; recode into categorical groups for regression if needed.</x:v>
      </x:c>
    </x:row>
    <x:row r="9">
      <x:c r="A9" s="11" t="str">
        <x:v>trigger_type</x:v>
      </x:c>
      <x:c r="B9" s="11" t="str">
        <x:v>Trigger mechanism</x:v>
      </x:c>
      <x:c r="C9" s="11" t="str">
        <x:v>Categorical variable: indemnity, industry loss index, parametric, etc.</x:v>
      </x:c>
    </x:row>
    <x:row r="10">
      <x:c r="A10" s="11" t="str">
        <x:v>coverage_basis</x:v>
      </x:c>
      <x:c r="B10" s="11" t="str">
        <x:v>Occurrence/aggregate basis</x:v>
      </x:c>
      <x:c r="C10" s="11" t="str">
        <x:v>Text field; may be mixed when Artemis describes both.</x:v>
      </x:c>
    </x:row>
    <x:row r="11">
      <x:c r="A11" s="11" t="str">
        <x:v>tranche_size_m</x:v>
      </x:c>
      <x:c r="B11" s="11" t="str">
        <x:v>Tranche size in USD millions when available</x:v>
      </x:c>
      <x:c r="C11" s="11" t="str">
        <x:v>EUR converted approximately only where noted; blanks mean unavailable.</x:v>
      </x:c>
    </x:row>
    <x:row r="12">
      <x:c r="A12" s="11" t="str">
        <x:v>expected_loss_pct</x:v>
      </x:c>
      <x:c r="B12" s="11" t="str">
        <x:v>Initial expected loss, percent</x:v>
      </x:c>
      <x:c r="C12" s="11" t="str">
        <x:v>Use annualised EL where Artemis gives multi-year and annualised values.</x:v>
      </x:c>
    </x:row>
    <x:row r="13">
      <x:c r="A13" s="11" t="str">
        <x:v>spread_pct</x:v>
      </x:c>
      <x:c r="B13" s="11" t="str">
        <x:v>Spread/coupon guidance or final spread, percent</x:v>
      </x:c>
      <x:c r="C13" s="11" t="str">
        <x:v>Use spread_basis to filter final vs guidance observations.</x:v>
      </x:c>
    </x:row>
    <x:row r="14">
      <x:c r="A14" s="11" t="str">
        <x:v>spread_basis</x:v>
      </x:c>
      <x:c r="B14" s="11" t="str">
        <x:v>Pricing-quality flag</x:v>
      </x:c>
      <x:c r="C14" s="11" t="str">
        <x:v>Final spread is strongest; guidance midpoint is acceptable but noisier.</x:v>
      </x:c>
    </x:row>
    <x:row r="15">
      <x:c r="A15" s="11" t="str">
        <x:v>source_url</x:v>
      </x:c>
      <x:c r="B15" s="11" t="str">
        <x:v>Artemis source URL</x:v>
      </x:c>
      <x:c r="C15" s="11" t="str">
        <x:v>Plain text URL for row-level traceability.</x:v>
      </x:c>
    </x:row>
    <x:row r="16">
      <x:c r="A16" s="11" t="str">
        <x:v>validation_status</x:v>
      </x:c>
      <x:c r="B16" s="11" t="str">
        <x:v>Validation note</x:v>
      </x:c>
      <x:c r="C16" s="11" t="str">
        <x:v>Indicates manual check against Artemis page/search extract.</x:v>
      </x:c>
    </x:row>
    <x:row r="17">
      <x:c r="A17" s="11" t="str">
        <x:v>notes</x:v>
      </x:c>
      <x:c r="B17" s="11" t="str">
        <x:v>Extraction assumptions</x:v>
      </x:c>
      <x:c r="C17" s="11" t="str">
        <x:v>Important for academic limitations.</x:v>
      </x:c>
    </x:row>
    <x:row r="18">
      <x:c r="A18" s="11" t="str">
        <x:v>regression_ready</x:v>
      </x:c>
      <x:c r="B18" s="11" t="str">
        <x:v>Yes/No flag</x:v>
      </x:c>
      <x:c r="C18" s="11" t="str">
        <x:v>Yes when expected_loss_pct and spread_pct are both present.</x:v>
      </x:c>
    </x:row>
    <x:row r="19">
      <x:c r="A19" s="11" t="str">
        <x:v>spread_to_el_multiple</x:v>
      </x:c>
      <x:c r="B19" s="11" t="str">
        <x:v>Spread / expected loss</x:v>
      </x:c>
      <x:c r="C19" s="11" t="str">
        <x:v>Formula-driven calculated column.</x:v>
      </x:c>
    </x:row>
  </x:sheetData>
  <x:pageMargins left="0.7" right="0.7" top="0.75" bottom="0.75" header="0.3" footer="0.3"/>
  <x:tableParts count="1">
    <x:tablePart xmlns:r="http://schemas.openxmlformats.org/officeDocument/2006/relationships" r:id="R9eb3f250cc444f8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 ht="26" customHeight="1">
      <x:c r="A1" s="26" t="str">
        <x:v>Method notes</x:v>
      </x:c>
    </x:row>
    <x:row r="2">
      <x:c r="A2" s="11" t="str">
        <x:v>1. Observation unit: one row per tranche/class. This is academically preferable for cat bond pricing because spread and expected loss vary by tranche.</x:v>
      </x:c>
    </x:row>
    <x:row r="3">
      <x:c r="A3" s="11" t="str">
        <x:v>2. No deal-level averages are used in the Data sheet. Averages only appear in Summary for descriptive checking.</x:v>
      </x:c>
    </x:row>
    <x:row r="4">
      <x:c r="A4" s="11" t="str">
        <x:v>3. Source restriction: rows are taken only from Artemis Deal Directory pages/search extracts and every row includes an Artemis source URL.</x:v>
      </x:c>
    </x:row>
    <x:row r="5">
      <x:c r="A5" s="11" t="str">
        <x:v>4. Best regression sample: filter regression_ready = Yes and optionally restrict spread_basis to Final spread / Latest stated pricing / Final or fixed guidance. Guidance midpoint rows are usable but add measurement noise.</x:v>
      </x:c>
    </x:row>
    <x:row r="6">
      <x:c r="A6" s="11" t="str">
        <x:v>5. Older Artemis pages are less standardized than newer pages, so rows with assumptions are flagged in notes and spread_basis.</x:v>
      </x:c>
    </x:row>
    <x:row r="7">
      <x:c r="A7" s="11" t="str">
        <x:v>6. Caution: Artemis states the Deal Directory is provided 'as is' and may contain omissions; this workbook is a coursework research sample, not an official licensed Artemis dataset.</x:v>
      </x:c>
    </x:row>
    <x:row r="8">
      <x:c r="A8" s="11" t="str">
        <x:v>7. Recommended dependent variable: spread_pct. Main explanatory variable: expected_loss_pct. Controls: trigger_type, peril_type/grouped peril, issue_year, possibly coverage_basis.</x:v>
      </x:c>
    </x:row>
    <x:row r="9">
      <x:c r="A9" s="11" t="str">
        <x:v>8. Suggested robustness check: run the model once using all regression-ready rows, and once using only rows where spread_basis contains 'Final'.</x:v>
      </x:c>
    </x:row>
  </x:sheetData>
  <x:pageMargins left="0.7" right="0.7" top="0.75" bottom="0.75" header="0.3" footer="0.3"/>
</x:worksheet>
</file>